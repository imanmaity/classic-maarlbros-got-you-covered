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"/>
    </mc:Choice>
  </mc:AlternateContent>
  <xr:revisionPtr revIDLastSave="0" documentId="13_ncr:1_{7842FEEA-2234-4350-AB21-B594AEC4B74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urse Detail - Term IV" sheetId="36" r:id="rId1"/>
    <sheet name="Class Schedule-Term-IV " sheetId="39" r:id="rId2"/>
  </sheets>
  <externalReferences>
    <externalReference r:id="rId3"/>
  </externalReferences>
  <definedNames>
    <definedName name="_xlnm._FilterDatabase" localSheetId="1" hidden="1">'Class Schedule-Term-IV '!$A$2:$M$78</definedName>
    <definedName name="_xlnm._FilterDatabase" localSheetId="0" hidden="1">'Course Detail - Term IV'!$A$1:$W$19</definedName>
    <definedName name="AA">[1]Range!$C$3:$D$16</definedName>
    <definedName name="FG" localSheetId="1">#REF!</definedName>
    <definedName name="FG" localSheetId="0">#REF!</definedName>
    <definedName name="FG">#REF!</definedName>
    <definedName name="GP" localSheetId="1">#REF!</definedName>
    <definedName name="GP" localSheetId="0">#REF!</definedName>
    <definedName name="GP">#REF!</definedName>
    <definedName name="_xlnm.Print_Area" localSheetId="1">'Class Schedule-Term-IV '!$A$1:$N$130</definedName>
    <definedName name="_xlnm.Print_Area" localSheetId="0">'Course Detail - Term IV'!$A$1:$M$18</definedName>
    <definedName name="_xlnm.Print_Titles" localSheetId="1">'Class Schedule-Term-IV '!$1:$2</definedName>
    <definedName name="range" localSheetId="1">#REF!</definedName>
    <definedName name="range" localSheetId="0">#REF!</definedName>
    <definedName name="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7" i="39" l="1"/>
  <c r="P16" i="39"/>
  <c r="P15" i="39"/>
  <c r="P14" i="39"/>
  <c r="P13" i="39"/>
  <c r="P12" i="39"/>
  <c r="P11" i="39"/>
  <c r="P10" i="39"/>
  <c r="P9" i="39"/>
  <c r="P8" i="39"/>
  <c r="P7" i="39"/>
  <c r="P6" i="39"/>
  <c r="P5" i="39"/>
  <c r="P4" i="39"/>
  <c r="P3" i="39"/>
  <c r="D142" i="39"/>
  <c r="K142" i="39" s="1"/>
  <c r="E141" i="39"/>
  <c r="D141" i="39"/>
  <c r="E140" i="39"/>
  <c r="D140" i="39"/>
  <c r="D139" i="39"/>
  <c r="D138" i="39"/>
  <c r="D137" i="39"/>
  <c r="D136" i="39"/>
  <c r="E135" i="39"/>
  <c r="D135" i="39"/>
  <c r="E134" i="39"/>
  <c r="D134" i="39"/>
  <c r="G133" i="39"/>
  <c r="F133" i="39"/>
  <c r="E133" i="39"/>
  <c r="D133" i="39"/>
  <c r="D132" i="39"/>
  <c r="E131" i="39"/>
  <c r="D131" i="39"/>
  <c r="E130" i="39"/>
  <c r="D130" i="39"/>
  <c r="D129" i="39"/>
  <c r="K129" i="39" s="1"/>
  <c r="E128" i="39"/>
  <c r="D128" i="39"/>
  <c r="D127" i="39"/>
  <c r="K127" i="39" s="1"/>
  <c r="D126" i="39"/>
  <c r="K126" i="39" s="1"/>
  <c r="E125" i="39"/>
  <c r="D125" i="39"/>
  <c r="E124" i="39"/>
  <c r="D124" i="39"/>
  <c r="E123" i="39"/>
  <c r="D123" i="39"/>
  <c r="D122" i="39"/>
  <c r="F121" i="39"/>
  <c r="E121" i="39"/>
  <c r="D121" i="39"/>
  <c r="F120" i="39"/>
  <c r="E120" i="39"/>
  <c r="D120" i="39"/>
  <c r="F119" i="39"/>
  <c r="E119" i="39"/>
  <c r="D119" i="39"/>
  <c r="D118" i="39"/>
  <c r="E117" i="39"/>
  <c r="D117" i="39"/>
  <c r="D116" i="39"/>
  <c r="K116" i="39" s="1"/>
  <c r="E115" i="39"/>
  <c r="D115" i="39"/>
  <c r="E114" i="39"/>
  <c r="D114" i="39"/>
  <c r="D113" i="39"/>
  <c r="F112" i="39"/>
  <c r="E112" i="39"/>
  <c r="D112" i="39"/>
  <c r="E111" i="39"/>
  <c r="D111" i="39"/>
  <c r="E110" i="39"/>
  <c r="D110" i="39"/>
  <c r="F109" i="39"/>
  <c r="E109" i="39"/>
  <c r="D109" i="39"/>
  <c r="D108" i="39"/>
  <c r="K108" i="39" s="1"/>
  <c r="D107" i="39"/>
  <c r="D106" i="39"/>
  <c r="D105" i="39"/>
  <c r="D104" i="39"/>
  <c r="D103" i="39"/>
  <c r="D102" i="39"/>
  <c r="E101" i="39"/>
  <c r="D101" i="39"/>
  <c r="P95" i="39"/>
  <c r="B95" i="39"/>
  <c r="B94" i="39"/>
  <c r="B93" i="39"/>
  <c r="B92" i="39"/>
  <c r="B91" i="39"/>
  <c r="B90" i="39"/>
  <c r="B89" i="39"/>
  <c r="P88" i="39"/>
  <c r="B88" i="39"/>
  <c r="P87" i="39"/>
  <c r="B87" i="39"/>
  <c r="P86" i="39"/>
  <c r="B86" i="39"/>
  <c r="P85" i="39"/>
  <c r="B85" i="39"/>
  <c r="P84" i="39"/>
  <c r="B84" i="39"/>
  <c r="P83" i="39"/>
  <c r="B83" i="39"/>
  <c r="P82" i="39"/>
  <c r="B82" i="39"/>
  <c r="P81" i="39"/>
  <c r="B81" i="39"/>
  <c r="P80" i="39"/>
  <c r="B80" i="39"/>
  <c r="P79" i="39"/>
  <c r="B79" i="39"/>
  <c r="P78" i="39"/>
  <c r="B78" i="39"/>
  <c r="P77" i="39"/>
  <c r="B77" i="39"/>
  <c r="P76" i="39"/>
  <c r="B76" i="39"/>
  <c r="P75" i="39"/>
  <c r="B75" i="39"/>
  <c r="P74" i="39"/>
  <c r="B74" i="39"/>
  <c r="P73" i="39"/>
  <c r="B73" i="39"/>
  <c r="P72" i="39"/>
  <c r="B72" i="39"/>
  <c r="P71" i="39"/>
  <c r="B71" i="39"/>
  <c r="P70" i="39"/>
  <c r="B70" i="39"/>
  <c r="P69" i="39"/>
  <c r="B69" i="39"/>
  <c r="P68" i="39"/>
  <c r="B68" i="39"/>
  <c r="P67" i="39"/>
  <c r="B67" i="39"/>
  <c r="P66" i="39"/>
  <c r="B66" i="39"/>
  <c r="P65" i="39"/>
  <c r="B65" i="39"/>
  <c r="P64" i="39"/>
  <c r="B64" i="39"/>
  <c r="P63" i="39"/>
  <c r="B63" i="39"/>
  <c r="P62" i="39"/>
  <c r="B62" i="39"/>
  <c r="P61" i="39"/>
  <c r="B61" i="39"/>
  <c r="P60" i="39"/>
  <c r="B60" i="39"/>
  <c r="P59" i="39"/>
  <c r="B59" i="39"/>
  <c r="P58" i="39"/>
  <c r="B58" i="39"/>
  <c r="P57" i="39"/>
  <c r="B57" i="39"/>
  <c r="P56" i="39"/>
  <c r="B56" i="39"/>
  <c r="P55" i="39"/>
  <c r="B55" i="39"/>
  <c r="P54" i="39"/>
  <c r="B54" i="39"/>
  <c r="P53" i="39"/>
  <c r="B53" i="39"/>
  <c r="P52" i="39"/>
  <c r="B52" i="39"/>
  <c r="P51" i="39"/>
  <c r="B51" i="39"/>
  <c r="P50" i="39"/>
  <c r="B50" i="39"/>
  <c r="P49" i="39"/>
  <c r="B49" i="39"/>
  <c r="P48" i="39"/>
  <c r="B48" i="39"/>
  <c r="P47" i="39"/>
  <c r="B47" i="39"/>
  <c r="P46" i="39"/>
  <c r="B46" i="39"/>
  <c r="P45" i="39"/>
  <c r="B45" i="39"/>
  <c r="P44" i="39"/>
  <c r="B44" i="39"/>
  <c r="P43" i="39"/>
  <c r="B43" i="39"/>
  <c r="P42" i="39"/>
  <c r="B42" i="39"/>
  <c r="P41" i="39"/>
  <c r="B41" i="39"/>
  <c r="P40" i="39"/>
  <c r="B40" i="39"/>
  <c r="P39" i="39"/>
  <c r="B39" i="39"/>
  <c r="P38" i="39"/>
  <c r="B38" i="39"/>
  <c r="P37" i="39"/>
  <c r="B37" i="39"/>
  <c r="P36" i="39"/>
  <c r="B36" i="39"/>
  <c r="P35" i="39"/>
  <c r="B35" i="39"/>
  <c r="P34" i="39"/>
  <c r="B34" i="39"/>
  <c r="P33" i="39"/>
  <c r="B33" i="39"/>
  <c r="P32" i="39"/>
  <c r="B32" i="39"/>
  <c r="P31" i="39"/>
  <c r="B31" i="39"/>
  <c r="P30" i="39"/>
  <c r="B30" i="39"/>
  <c r="P29" i="39"/>
  <c r="B29" i="39"/>
  <c r="P28" i="39"/>
  <c r="B28" i="39"/>
  <c r="P27" i="39"/>
  <c r="B27" i="39"/>
  <c r="P26" i="39"/>
  <c r="B26" i="39"/>
  <c r="P25" i="39"/>
  <c r="B25" i="39"/>
  <c r="P24" i="39"/>
  <c r="B24" i="39"/>
  <c r="P23" i="39"/>
  <c r="B23" i="39"/>
  <c r="P22" i="39"/>
  <c r="B22" i="39"/>
  <c r="P21" i="39"/>
  <c r="B21" i="39"/>
  <c r="P20" i="39"/>
  <c r="B20" i="39"/>
  <c r="P19" i="39"/>
  <c r="B19" i="39"/>
  <c r="P18" i="39"/>
  <c r="B18" i="39"/>
  <c r="B17" i="39"/>
  <c r="B16" i="39"/>
  <c r="B15" i="39"/>
  <c r="B14" i="39"/>
  <c r="B13" i="39"/>
  <c r="B12" i="39"/>
  <c r="B11" i="39"/>
  <c r="B10" i="39"/>
  <c r="B9" i="39"/>
  <c r="B8" i="39"/>
  <c r="B7" i="39"/>
  <c r="B6" i="39"/>
  <c r="B5" i="39"/>
  <c r="B4" i="39"/>
  <c r="B3" i="39"/>
  <c r="K130" i="39" l="1"/>
  <c r="K134" i="39"/>
  <c r="K124" i="39"/>
  <c r="K125" i="39"/>
  <c r="K117" i="39"/>
  <c r="K133" i="39"/>
  <c r="K140" i="39"/>
  <c r="K120" i="39"/>
  <c r="K114" i="39"/>
  <c r="K115" i="39"/>
  <c r="K121" i="39"/>
  <c r="K128" i="39"/>
  <c r="K101" i="39"/>
  <c r="K110" i="39"/>
  <c r="K123" i="39"/>
  <c r="K109" i="39"/>
  <c r="K112" i="39"/>
  <c r="K131" i="39"/>
  <c r="K119" i="39"/>
  <c r="G22" i="36"/>
  <c r="G20" i="36"/>
  <c r="H26" i="36" l="1"/>
  <c r="G27" i="36"/>
  <c r="G21" i="36" l="1"/>
  <c r="D22" i="36"/>
  <c r="D21" i="36"/>
  <c r="T18" i="36" l="1"/>
  <c r="F18" i="36"/>
  <c r="A3" i="36"/>
  <c r="A4" i="36" l="1"/>
  <c r="A5" i="36" s="1"/>
  <c r="A6" i="36" s="1"/>
  <c r="A7" i="36" s="1"/>
  <c r="A8" i="36" s="1"/>
  <c r="A9" i="36" s="1"/>
  <c r="A10" i="36" s="1"/>
  <c r="A11" i="36" l="1"/>
  <c r="A12" i="36" s="1"/>
  <c r="A13" i="36" s="1"/>
  <c r="A14" i="36" s="1"/>
  <c r="A15" i="36" s="1"/>
  <c r="A16" i="36" s="1"/>
  <c r="A17" i="36" s="1"/>
  <c r="K104" i="39" l="1"/>
  <c r="E104" i="39"/>
  <c r="K132" i="39"/>
  <c r="E132" i="39"/>
  <c r="K137" i="39"/>
  <c r="E137" i="39"/>
  <c r="K136" i="39"/>
  <c r="E136" i="39"/>
  <c r="K105" i="39"/>
  <c r="E105" i="39"/>
  <c r="K106" i="39"/>
  <c r="E106" i="39"/>
  <c r="K103" i="39"/>
  <c r="E103" i="39"/>
  <c r="K135" i="39"/>
  <c r="F135" i="39"/>
  <c r="K138" i="39"/>
  <c r="E138" i="39"/>
  <c r="K139" i="39"/>
  <c r="E139" i="39"/>
  <c r="K141" i="39"/>
  <c r="F141" i="39"/>
  <c r="K122" i="39"/>
  <c r="E122" i="39"/>
  <c r="K111" i="39"/>
  <c r="F111" i="39"/>
  <c r="K113" i="39"/>
  <c r="E113" i="39"/>
  <c r="H105" i="39"/>
  <c r="F136" i="39"/>
  <c r="F106" i="39"/>
  <c r="H107" i="39"/>
  <c r="F132" i="39"/>
  <c r="F107" i="39"/>
  <c r="F139" i="39"/>
  <c r="F113" i="39"/>
  <c r="H132" i="39"/>
  <c r="F138" i="39"/>
  <c r="K102" i="39"/>
  <c r="H139" i="39"/>
  <c r="F105" i="39"/>
  <c r="E118" i="39"/>
  <c r="K118" i="39"/>
  <c r="E102" i="39"/>
  <c r="E107" i="39"/>
  <c r="K107" i="39"/>
</calcChain>
</file>

<file path=xl/sharedStrings.xml><?xml version="1.0" encoding="utf-8"?>
<sst xmlns="http://schemas.openxmlformats.org/spreadsheetml/2006/main" count="598" uniqueCount="261">
  <si>
    <t>Session-I</t>
  </si>
  <si>
    <t>Session-II</t>
  </si>
  <si>
    <t>Session-III</t>
  </si>
  <si>
    <t>Session-IV</t>
  </si>
  <si>
    <t>Session-V</t>
  </si>
  <si>
    <t>Date</t>
  </si>
  <si>
    <t>Day</t>
  </si>
  <si>
    <t>Session-VI</t>
  </si>
  <si>
    <t>Session-VII</t>
  </si>
  <si>
    <t>Session-VIII</t>
  </si>
  <si>
    <t>BM</t>
  </si>
  <si>
    <t>Sl. No.</t>
  </si>
  <si>
    <t>Course
Code</t>
  </si>
  <si>
    <t>Abbre.</t>
  </si>
  <si>
    <t>Name of the Course</t>
  </si>
  <si>
    <t>Area</t>
  </si>
  <si>
    <t>Credit
Hours</t>
  </si>
  <si>
    <t>Name of the Faculty</t>
  </si>
  <si>
    <t>Class
Room</t>
  </si>
  <si>
    <t>Division</t>
  </si>
  <si>
    <t>Student
Strength</t>
  </si>
  <si>
    <t>Outline</t>
  </si>
  <si>
    <t>Order Copy</t>
  </si>
  <si>
    <t>Co-ordinator</t>
  </si>
  <si>
    <t>Class Preferences</t>
  </si>
  <si>
    <t>Marketing</t>
  </si>
  <si>
    <t>Total Credit</t>
  </si>
  <si>
    <t>Finance</t>
  </si>
  <si>
    <t>IPM</t>
  </si>
  <si>
    <t>Investment and Portfolio Management</t>
  </si>
  <si>
    <t>FSA</t>
  </si>
  <si>
    <t>Financial Statement Analysis</t>
  </si>
  <si>
    <t>CB</t>
  </si>
  <si>
    <t>Consumer Behaviour</t>
  </si>
  <si>
    <t>RMKT</t>
  </si>
  <si>
    <t>ERP</t>
  </si>
  <si>
    <t>BI</t>
  </si>
  <si>
    <t>Business Intelligence</t>
  </si>
  <si>
    <t>Presentation - Summer Projects</t>
  </si>
  <si>
    <t>Janmashtami (Holiday)</t>
  </si>
  <si>
    <t>End -Term Examination</t>
  </si>
  <si>
    <t>Text Book
Received</t>
  </si>
  <si>
    <t>FB</t>
  </si>
  <si>
    <t>Session-IX</t>
  </si>
  <si>
    <t>Raksha Bandhan</t>
  </si>
  <si>
    <t>RMKT(A)</t>
  </si>
  <si>
    <t>RMKT(B)</t>
  </si>
  <si>
    <t>IPM(A)</t>
  </si>
  <si>
    <t>IPM(B)</t>
  </si>
  <si>
    <t>CB(A)</t>
  </si>
  <si>
    <t>CB(B)</t>
  </si>
  <si>
    <t xml:space="preserve">Book Price </t>
  </si>
  <si>
    <t>Case Price</t>
  </si>
  <si>
    <t>MFS</t>
  </si>
  <si>
    <t>Management of Financial Service</t>
  </si>
  <si>
    <t>I&amp;PM</t>
  </si>
  <si>
    <t>PML</t>
  </si>
  <si>
    <t>OB</t>
  </si>
  <si>
    <t>Faculty Email id</t>
  </si>
  <si>
    <t>sapna@nirmauni.ac.in</t>
  </si>
  <si>
    <t>HRM</t>
  </si>
  <si>
    <t>2nd and 4th 04:00-06:00PM</t>
  </si>
  <si>
    <t>Yes</t>
  </si>
  <si>
    <t>not required</t>
  </si>
  <si>
    <t>DnA</t>
  </si>
  <si>
    <t>OM</t>
  </si>
  <si>
    <t>S&amp;DM</t>
  </si>
  <si>
    <t>MBC</t>
  </si>
  <si>
    <t>TQM</t>
  </si>
  <si>
    <t>shubham.goswami@nirmauni.ac.in</t>
  </si>
  <si>
    <t>Session-X</t>
  </si>
  <si>
    <t>E &amp; S</t>
  </si>
  <si>
    <t>Session Report</t>
  </si>
  <si>
    <t>Course Pack</t>
  </si>
  <si>
    <t>YES</t>
  </si>
  <si>
    <t>Book</t>
  </si>
  <si>
    <t>Innovation and Product Management</t>
  </si>
  <si>
    <t>Managing Business on Cloud</t>
  </si>
  <si>
    <t>Enterprise Resource Planning</t>
  </si>
  <si>
    <t>IB</t>
  </si>
  <si>
    <t>International Business* (MBA+IMBA)</t>
  </si>
  <si>
    <t>Prof. Nikunj Patel (Div. A&amp;B)
Prof. Bhavesh Patel (Div. C)
Prof. Dipti Saraf (Div. D)</t>
  </si>
  <si>
    <t>2
1
1</t>
  </si>
  <si>
    <t>2
1</t>
  </si>
  <si>
    <t>Total Quality Management * (MBA+IMBA)</t>
  </si>
  <si>
    <t>People Management and Leadership * (With IMBA)</t>
  </si>
  <si>
    <t>IPM(B)/IPM('C)/IPM(D)/CB(A)</t>
  </si>
  <si>
    <t>IPM(A)/CB(B)/CB('C)</t>
  </si>
  <si>
    <t>Foundation Day</t>
  </si>
  <si>
    <t>IPM(C)</t>
  </si>
  <si>
    <t>IPM(D)</t>
  </si>
  <si>
    <t>BM(A)</t>
  </si>
  <si>
    <t>BM(B)</t>
  </si>
  <si>
    <t>FSA(A)</t>
  </si>
  <si>
    <t>FSA(B)</t>
  </si>
  <si>
    <t>FSA('C)</t>
  </si>
  <si>
    <t>SDM(A)</t>
  </si>
  <si>
    <t>SDM(B)</t>
  </si>
  <si>
    <t>I&amp;PM(A)</t>
  </si>
  <si>
    <t>I&amp;PM(B)</t>
  </si>
  <si>
    <t>CB('C)</t>
  </si>
  <si>
    <t>MBC(A)</t>
  </si>
  <si>
    <t>MBC(B)</t>
  </si>
  <si>
    <t>ERP(A)</t>
  </si>
  <si>
    <t>ERP(B)</t>
  </si>
  <si>
    <t>ERP('C)</t>
  </si>
  <si>
    <t>TQM(A)</t>
  </si>
  <si>
    <t>TQM(B)</t>
  </si>
  <si>
    <t>BI(A)</t>
  </si>
  <si>
    <t>SIP</t>
  </si>
  <si>
    <t>Summer Internship</t>
  </si>
  <si>
    <t>General</t>
  </si>
  <si>
    <t>Bank Management* (With IMBA)</t>
  </si>
  <si>
    <t>Prof. Lalit Arora (Div. A, B &amp; C)</t>
  </si>
  <si>
    <t>1
2</t>
  </si>
  <si>
    <t>SBM</t>
  </si>
  <si>
    <t>Strategic Brand Management</t>
  </si>
  <si>
    <t>Retail Marketing * (1 Division with IMBA)</t>
  </si>
  <si>
    <t>Q&amp;QRM</t>
  </si>
  <si>
    <t>Prof. Sapna Prashar (Div. A ,B &amp; C)</t>
  </si>
  <si>
    <t xml:space="preserve">Prof Shubham Goswami (Div. A &amp; B ) </t>
  </si>
  <si>
    <t>Prof. Parag Rijwani (Div. A&amp;B)
Prof. Pankaj Agrawal (Div. C&amp;D) (VF)</t>
  </si>
  <si>
    <t>Prof. Sandip Trada  (Div. A) 
Prof. Rupam Deb (Div. B,C)</t>
  </si>
  <si>
    <t>nikunj@nirmauni.ac.in,
bhavesh@nirmauni.ac.in,
dipti.saraf@nirmauni.ac.in</t>
  </si>
  <si>
    <t>himanshuchauhan@nirmauni.ac.in,
jayeshaagja@nirmauni.ac.in</t>
  </si>
  <si>
    <t>punit@nirmauni.ac.in</t>
  </si>
  <si>
    <t>BM('C)/RMKT('C)/BI('B)</t>
  </si>
  <si>
    <t>BM(B)/RMKT(A)/TQM(B)</t>
  </si>
  <si>
    <t>SBM('C)</t>
  </si>
  <si>
    <t>CB(D)</t>
  </si>
  <si>
    <t>BI('C)/IB</t>
  </si>
  <si>
    <t>IPM(A)/CB(B)/CB('C)/CB(D)</t>
  </si>
  <si>
    <t>Break</t>
  </si>
  <si>
    <t>08.00AM to
09.00AM</t>
  </si>
  <si>
    <t>09.10AM to 
10.10AM</t>
  </si>
  <si>
    <t>10.20AM to 
11.20PM</t>
  </si>
  <si>
    <t>11.30AM to 
12.30PM</t>
  </si>
  <si>
    <t>1.30PM to
02.30PM</t>
  </si>
  <si>
    <t>02.40PM to
03.40PM</t>
  </si>
  <si>
    <t>03.50PM to 
04.50PM</t>
  </si>
  <si>
    <t>05.00PM to 
06.00PM</t>
  </si>
  <si>
    <t>06.10PM to 
07.10PM</t>
  </si>
  <si>
    <t>07.20PM to 
08.20PM</t>
  </si>
  <si>
    <t>SDM('C)</t>
  </si>
  <si>
    <t>BI(B)</t>
  </si>
  <si>
    <t>BI('C)</t>
  </si>
  <si>
    <t>FSA(D)</t>
  </si>
  <si>
    <t>BM('C)</t>
  </si>
  <si>
    <t>I&amp;PM(C)</t>
  </si>
  <si>
    <t>SBM(A)</t>
  </si>
  <si>
    <t>SBM(B)</t>
  </si>
  <si>
    <t>RMKT('C)</t>
  </si>
  <si>
    <t>PML(A)</t>
  </si>
  <si>
    <t>PML(B)</t>
  </si>
  <si>
    <t>12:30PM-01:30PM</t>
  </si>
  <si>
    <t>12:30PM to 01:30PM</t>
  </si>
  <si>
    <t>SBM(B)/PML(A)/</t>
  </si>
  <si>
    <t>FSA(A)/FSA('C)/SBM(A)/MFS</t>
  </si>
  <si>
    <t>FSA(B)/FSA(D)/SDM(A)</t>
  </si>
  <si>
    <t>BM(A)/RMKT(B)/TQM(A)/BI(A)</t>
  </si>
  <si>
    <t>IPM(B)/IPM('C)/IPM(D)/CB(A)/BI('C)/IB</t>
  </si>
  <si>
    <t>Text Book
Title</t>
  </si>
  <si>
    <t>130
65
31</t>
  </si>
  <si>
    <t>130
60</t>
  </si>
  <si>
    <t>Prof. Rajesh Shah (VF) (Div. A&amp;B)</t>
  </si>
  <si>
    <t>175 MBA
27 IMBA</t>
  </si>
  <si>
    <t>41MBA&amp; B.Tech
29 IMBA</t>
  </si>
  <si>
    <t>70
123</t>
  </si>
  <si>
    <t>71
137</t>
  </si>
  <si>
    <t>Prof. Sanjay Jain (Div. A &amp; B)
Prof. Riddhi Ambavale (VF) (Div. C)</t>
  </si>
  <si>
    <t>sandip@nirmauni.ac.in,
rupam.deb@nirmauni.ac.in,</t>
  </si>
  <si>
    <t>pradeep.kautish@nirmauni.ac.in,
abhishek.shrivastav_vf@nirmauni.ac.in,</t>
  </si>
  <si>
    <t>lalit.arora@nirmauni.ac.in,</t>
  </si>
  <si>
    <t>rajeshshah@nirmauni.ac.in,</t>
  </si>
  <si>
    <t>parag@nirmauni.ac.in,
pankaj.agrawal@nirmauni.ac.in,</t>
  </si>
  <si>
    <t>sanjayjain@nirmauni.ac.in,
riddhi.ambavale_vf@nirmauni.ac.in,</t>
  </si>
  <si>
    <t>140
68</t>
  </si>
  <si>
    <t>Prof. Himanshu Chauhan (Div. A &amp; B)
Prof. Jayesh Aagja (Div. C)</t>
  </si>
  <si>
    <t>136
42</t>
  </si>
  <si>
    <t>2
with IMBA</t>
  </si>
  <si>
    <t>114 MBA &amp; B.Tech
23IMBA</t>
  </si>
  <si>
    <t>34 MBA&amp; B.Tech
26 IMBA</t>
  </si>
  <si>
    <t>somayya.madakam@nirmauni.ac.in</t>
  </si>
  <si>
    <t>94 MBA &amp; B.Tech
8 IMBA</t>
  </si>
  <si>
    <t>Prof. Jayesh Aagja (Div. A,B,C,D,E&amp;F)</t>
  </si>
  <si>
    <t>Prof. Nikunj Patel</t>
  </si>
  <si>
    <t>Prof. Lalit Arora</t>
  </si>
  <si>
    <t>Prof. Pradeep Kautish</t>
  </si>
  <si>
    <t>Prof. Sanjay Jain</t>
  </si>
  <si>
    <t>Prof. Pankaj Agarwal</t>
  </si>
  <si>
    <t>Prof. Sandip Trada</t>
  </si>
  <si>
    <t>Prof. Jayesh Aagja</t>
  </si>
  <si>
    <t>Prof. Sapna Parashar</t>
  </si>
  <si>
    <t>Prof. Somayya. Madakam</t>
  </si>
  <si>
    <t>Prof. Shubham Goswami</t>
  </si>
  <si>
    <t>Prof. Anand Kumar</t>
  </si>
  <si>
    <t>Prof. Dinesh panchal</t>
  </si>
  <si>
    <t>Prof. Punit Saurabh</t>
  </si>
  <si>
    <t>No</t>
  </si>
  <si>
    <t>Prof. Somayya Madakam (Div. A,B &amp; C)</t>
  </si>
  <si>
    <t>Not required</t>
  </si>
  <si>
    <t xml:space="preserve"> P. Ganesh (VF) (Div. A &amp; B)</t>
  </si>
  <si>
    <t>FSA(A)/MBC(B)/RMKT(A)</t>
  </si>
  <si>
    <t>FSA(B)/FSA('C)/MBC(A)/RMKT(B)</t>
  </si>
  <si>
    <t>BM(B)/I&amp;PM(B)/I&amp;PM(A)</t>
  </si>
  <si>
    <t>BM('C)/SDM(A)</t>
  </si>
  <si>
    <t>BM(A)/I&amp;PM('C)</t>
  </si>
  <si>
    <t>BI(A)/PML</t>
  </si>
  <si>
    <t>BI(B)/IB</t>
  </si>
  <si>
    <t>SDM('C)/SBM('C)</t>
  </si>
  <si>
    <t>7MP117SE26</t>
  </si>
  <si>
    <t>7MP113SE26</t>
  </si>
  <si>
    <t>7MP121SE26</t>
  </si>
  <si>
    <t>7MP101SE26</t>
  </si>
  <si>
    <t>7MP322SE26</t>
  </si>
  <si>
    <t>7MP312SE26</t>
  </si>
  <si>
    <t>7MP325SE26</t>
  </si>
  <si>
    <t>7MP303SE26</t>
  </si>
  <si>
    <t>7MP319SE26</t>
  </si>
  <si>
    <t>7MP506NE26</t>
  </si>
  <si>
    <t>7MP704SE26</t>
  </si>
  <si>
    <t>7MP715SE26</t>
  </si>
  <si>
    <t>7MP710SE26</t>
  </si>
  <si>
    <t>7MP215SE26</t>
  </si>
  <si>
    <t>7MP805SE26</t>
  </si>
  <si>
    <t>7MP901CC22</t>
  </si>
  <si>
    <t>Sales &amp; Distribution Management ( With HRM)</t>
  </si>
  <si>
    <t>MFS(B)/SBM(A)</t>
  </si>
  <si>
    <t>Last Date for Submission of Summer  Projects - 09-July-2026</t>
  </si>
  <si>
    <t>Independence Day/ Parsi New Year (Pateti) (Holiday)</t>
  </si>
  <si>
    <t>Samvatsari / (Ganesh Chaturthi) - (Holiday)</t>
  </si>
  <si>
    <t>Commencement of Term-V (September -28, 2026)</t>
  </si>
  <si>
    <t>Prof. Pradeep Kautish (Div. A)
Prof. Abhishek Shrivastav (VF) (Div. B&amp;C)</t>
  </si>
  <si>
    <t>Prof. Dinesh Panchal &amp; Prof. A. B. Raju  
VF  (Div. A &amp; B)</t>
  </si>
  <si>
    <t>Lunch Break</t>
  </si>
  <si>
    <t>Prof. Deepa Sanghavi (VF)</t>
  </si>
  <si>
    <t>jayeshaagja@nirmauni.ac.in</t>
  </si>
  <si>
    <t>pganesh@nirmauni.ac.in,
anand.kumar@nirmauni.ac.in,</t>
  </si>
  <si>
    <t>deepasanghavi@nirmauni.ac.in,
nidhi.bansal@nirmauni.ac.in</t>
  </si>
  <si>
    <t>dinesh.panchal@nirmauni.ac.in,
abraju@nirmauni.ac.in</t>
  </si>
  <si>
    <t>FSA(A)/RMKT(A)</t>
  </si>
  <si>
    <t>FSA(B)/FSA('C)/RMKT(B)</t>
  </si>
  <si>
    <t>T6
T5
309-F</t>
  </si>
  <si>
    <t>T6
T5</t>
  </si>
  <si>
    <t>T5</t>
  </si>
  <si>
    <t>T6</t>
  </si>
  <si>
    <t>T4
T4</t>
  </si>
  <si>
    <t>T4
T5</t>
  </si>
  <si>
    <t>T6
T6</t>
  </si>
  <si>
    <t>E6</t>
  </si>
  <si>
    <t>309-F</t>
  </si>
  <si>
    <t>T4</t>
  </si>
  <si>
    <t>Prof. Nintin Pillai</t>
  </si>
  <si>
    <t>IPM(B)/IPM('C)/CB(A)</t>
  </si>
  <si>
    <t>FSA(B)/RMKT(B)</t>
  </si>
  <si>
    <t>FSA(B)/MBC(A)/RMKT(B)</t>
  </si>
  <si>
    <t>ERP(A)/MFS(A)/SBM(B)</t>
  </si>
  <si>
    <t>ERP(A)/TQM(B)/MFS(A)/SBM(B)</t>
  </si>
  <si>
    <t>ERP(B)/TQM(A)</t>
  </si>
  <si>
    <t>ERP(A)/MFS(A)</t>
  </si>
  <si>
    <t>MFS(B)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</si>
</sst>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Calibri"/>
      <family val="2"/>
    </font>
    <font>
      <b/>
      <sz val="12"/>
      <name val="Times New Roman"/>
      <family val="1"/>
    </font>
    <font>
      <sz val="10"/>
      <color rgb="FF00000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sz val="12"/>
      <name val="Times New Roman"/>
      <family val="1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4" fillId="0" borderId="0"/>
    <xf numFmtId="0" fontId="3" fillId="0" borderId="0"/>
    <xf numFmtId="0" fontId="3" fillId="0" borderId="0"/>
    <xf numFmtId="0" fontId="7" fillId="0" borderId="0"/>
    <xf numFmtId="0" fontId="15" fillId="0" borderId="0" applyNumberFormat="0" applyFill="0" applyBorder="0" applyAlignment="0" applyProtection="0"/>
    <xf numFmtId="0" fontId="7" fillId="0" borderId="0"/>
  </cellStyleXfs>
  <cellXfs count="104">
    <xf numFmtId="0" fontId="0" fillId="0" borderId="0" xfId="0"/>
    <xf numFmtId="0" fontId="2" fillId="3" borderId="0" xfId="0" applyFont="1" applyFill="1" applyBorder="1" applyAlignment="1">
      <alignment vertical="center"/>
    </xf>
    <xf numFmtId="0" fontId="5" fillId="3" borderId="1" xfId="3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5" fontId="9" fillId="3" borderId="1" xfId="0" quotePrefix="1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9" fillId="5" borderId="1" xfId="3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3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3" applyFont="1" applyFill="1" applyBorder="1" applyAlignment="1">
      <alignment vertical="center" wrapText="1"/>
    </xf>
    <xf numFmtId="164" fontId="5" fillId="3" borderId="1" xfId="3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 wrapText="1"/>
    </xf>
    <xf numFmtId="0" fontId="0" fillId="3" borderId="0" xfId="0" applyFill="1"/>
    <xf numFmtId="0" fontId="12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left" vertical="center"/>
    </xf>
    <xf numFmtId="164" fontId="5" fillId="3" borderId="1" xfId="3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vertical="center"/>
    </xf>
    <xf numFmtId="164" fontId="12" fillId="3" borderId="1" xfId="3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15" fontId="9" fillId="3" borderId="0" xfId="0" quotePrefix="1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 wrapText="1"/>
    </xf>
    <xf numFmtId="0" fontId="9" fillId="3" borderId="13" xfId="0" applyFont="1" applyFill="1" applyBorder="1" applyAlignment="1">
      <alignment horizontal="center" vertical="center"/>
    </xf>
    <xf numFmtId="0" fontId="15" fillId="3" borderId="1" xfId="5" applyFill="1" applyBorder="1" applyAlignment="1">
      <alignment horizontal="center" vertical="center" wrapText="1"/>
    </xf>
    <xf numFmtId="0" fontId="15" fillId="3" borderId="1" xfId="5" applyFill="1" applyBorder="1" applyAlignment="1">
      <alignment horizontal="center" vertical="center"/>
    </xf>
    <xf numFmtId="0" fontId="5" fillId="3" borderId="1" xfId="3" applyFont="1" applyFill="1" applyBorder="1" applyAlignment="1">
      <alignment vertical="center"/>
    </xf>
    <xf numFmtId="0" fontId="16" fillId="3" borderId="1" xfId="4" applyFont="1" applyFill="1" applyBorder="1" applyAlignment="1">
      <alignment horizontal="left" vertical="center" wrapText="1"/>
    </xf>
    <xf numFmtId="0" fontId="16" fillId="3" borderId="8" xfId="4" applyFont="1" applyFill="1" applyBorder="1" applyAlignment="1">
      <alignment horizontal="left" vertical="center" wrapText="1"/>
    </xf>
    <xf numFmtId="0" fontId="2" fillId="2" borderId="1" xfId="3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0" fillId="3" borderId="0" xfId="3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/>
    </xf>
    <xf numFmtId="0" fontId="9" fillId="5" borderId="11" xfId="3" applyFont="1" applyFill="1" applyBorder="1" applyAlignment="1">
      <alignment horizontal="center" vertical="center" wrapText="1"/>
    </xf>
    <xf numFmtId="0" fontId="9" fillId="5" borderId="12" xfId="3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10" fillId="5" borderId="1" xfId="3" applyFont="1" applyFill="1" applyBorder="1" applyAlignment="1">
      <alignment vertical="center" wrapText="1"/>
    </xf>
    <xf numFmtId="0" fontId="10" fillId="3" borderId="1" xfId="3" applyFont="1" applyFill="1" applyBorder="1" applyAlignment="1">
      <alignment vertical="center" wrapText="1"/>
    </xf>
    <xf numFmtId="0" fontId="8" fillId="3" borderId="1" xfId="3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9" fillId="3" borderId="8" xfId="3" applyFont="1" applyFill="1" applyBorder="1" applyAlignment="1">
      <alignment horizontal="center" vertical="center" wrapText="1"/>
    </xf>
    <xf numFmtId="0" fontId="9" fillId="3" borderId="13" xfId="3" applyFont="1" applyFill="1" applyBorder="1" applyAlignment="1">
      <alignment horizontal="center" vertical="center" wrapText="1"/>
    </xf>
    <xf numFmtId="0" fontId="11" fillId="3" borderId="1" xfId="4" applyFont="1" applyFill="1" applyBorder="1" applyAlignment="1">
      <alignment vertical="center" wrapText="1"/>
    </xf>
    <xf numFmtId="0" fontId="9" fillId="3" borderId="16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0" fontId="9" fillId="3" borderId="6" xfId="3" applyFont="1" applyFill="1" applyBorder="1" applyAlignment="1">
      <alignment horizontal="center" vertical="center" wrapText="1"/>
    </xf>
    <xf numFmtId="0" fontId="9" fillId="3" borderId="18" xfId="3" applyFont="1" applyFill="1" applyBorder="1" applyAlignment="1">
      <alignment horizontal="center" vertical="center" wrapText="1"/>
    </xf>
    <xf numFmtId="0" fontId="9" fillId="3" borderId="0" xfId="3" applyFont="1" applyFill="1" applyBorder="1" applyAlignment="1">
      <alignment horizontal="center" vertical="center" wrapText="1"/>
    </xf>
    <xf numFmtId="0" fontId="9" fillId="3" borderId="7" xfId="3" applyFont="1" applyFill="1" applyBorder="1" applyAlignment="1">
      <alignment horizontal="center" vertical="center" wrapText="1"/>
    </xf>
    <xf numFmtId="0" fontId="9" fillId="3" borderId="17" xfId="3" applyFont="1" applyFill="1" applyBorder="1" applyAlignment="1">
      <alignment horizontal="center" vertical="center" wrapText="1"/>
    </xf>
    <xf numFmtId="0" fontId="9" fillId="3" borderId="4" xfId="3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 wrapText="1"/>
    </xf>
    <xf numFmtId="0" fontId="10" fillId="5" borderId="2" xfId="3" applyFont="1" applyFill="1" applyBorder="1" applyAlignment="1">
      <alignment horizontal="center" vertical="center" wrapText="1"/>
    </xf>
    <xf numFmtId="0" fontId="10" fillId="5" borderId="11" xfId="3" applyFont="1" applyFill="1" applyBorder="1" applyAlignment="1">
      <alignment horizontal="center" vertical="center" wrapText="1"/>
    </xf>
    <xf numFmtId="0" fontId="10" fillId="5" borderId="12" xfId="3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 wrapText="1"/>
    </xf>
    <xf numFmtId="0" fontId="10" fillId="5" borderId="1" xfId="3" applyFont="1" applyFill="1" applyBorder="1" applyAlignment="1">
      <alignment horizontal="center" vertical="center" wrapText="1"/>
    </xf>
    <xf numFmtId="0" fontId="10" fillId="3" borderId="2" xfId="3" applyFont="1" applyFill="1" applyBorder="1" applyAlignment="1">
      <alignment horizontal="center" vertical="center" wrapText="1"/>
    </xf>
    <xf numFmtId="0" fontId="10" fillId="3" borderId="11" xfId="3" applyFont="1" applyFill="1" applyBorder="1" applyAlignment="1">
      <alignment horizontal="center" vertical="center" wrapText="1"/>
    </xf>
    <xf numFmtId="0" fontId="10" fillId="3" borderId="12" xfId="3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</cellXfs>
  <cellStyles count="7">
    <cellStyle name="Hyperlink" xfId="5" builtinId="8"/>
    <cellStyle name="Normal" xfId="0" builtinId="0"/>
    <cellStyle name="Normal 2" xfId="1" xr:uid="{00000000-0005-0000-0000-000002000000}"/>
    <cellStyle name="Normal 2 2" xfId="3" xr:uid="{00000000-0005-0000-0000-000003000000}"/>
    <cellStyle name="Normal 2_Class Schedule-Term-I" xfId="2" xr:uid="{00000000-0005-0000-0000-000004000000}"/>
    <cellStyle name="Normal 3" xfId="4" xr:uid="{00000000-0005-0000-0000-000005000000}"/>
    <cellStyle name="Normal 3 2" xfId="6" xr:uid="{CD802BAD-EB93-4329-A575-43C694C53F01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aadmin\C\WINDOWS\Temporary%20Internet%20Files\Content.IE5\C967KH6Z\Data\Grade%20(FT)%20(FB)%20(PT)\Graduate%20Batch\FT\2006-08%20(FT)\Term%20-%20IV\Final%20Grade\SPM%20%20-%20Final%20Grade%20(FT)%20(06-08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ge"/>
      <sheetName val="Final Grade"/>
    </sheetNames>
    <sheetDataSet>
      <sheetData sheetId="0">
        <row r="3">
          <cell r="C3">
            <v>0</v>
          </cell>
          <cell r="D3">
            <v>0</v>
          </cell>
        </row>
        <row r="4">
          <cell r="C4" t="str">
            <v>F</v>
          </cell>
          <cell r="D4">
            <v>0</v>
          </cell>
        </row>
        <row r="5">
          <cell r="C5" t="str">
            <v>D-</v>
          </cell>
          <cell r="D5">
            <v>0.66700000000000004</v>
          </cell>
        </row>
        <row r="6">
          <cell r="C6" t="str">
            <v>D</v>
          </cell>
          <cell r="D6">
            <v>1</v>
          </cell>
        </row>
        <row r="7">
          <cell r="C7" t="str">
            <v>D+</v>
          </cell>
          <cell r="D7">
            <v>1.333</v>
          </cell>
        </row>
        <row r="8">
          <cell r="C8" t="str">
            <v>C-</v>
          </cell>
          <cell r="D8">
            <v>1.667</v>
          </cell>
        </row>
        <row r="9">
          <cell r="C9" t="str">
            <v>C</v>
          </cell>
          <cell r="D9">
            <v>2</v>
          </cell>
        </row>
        <row r="10">
          <cell r="C10" t="str">
            <v>C+</v>
          </cell>
          <cell r="D10">
            <v>2.3330000000000002</v>
          </cell>
        </row>
        <row r="11">
          <cell r="C11" t="str">
            <v>B-</v>
          </cell>
          <cell r="D11">
            <v>2.6669999999999998</v>
          </cell>
        </row>
        <row r="12">
          <cell r="C12" t="str">
            <v>B</v>
          </cell>
          <cell r="D12">
            <v>3</v>
          </cell>
        </row>
        <row r="13">
          <cell r="C13" t="str">
            <v>B+</v>
          </cell>
          <cell r="D13">
            <v>3.3330000000000002</v>
          </cell>
        </row>
        <row r="14">
          <cell r="C14" t="str">
            <v>A-</v>
          </cell>
          <cell r="D14">
            <v>3.6669999999999998</v>
          </cell>
        </row>
        <row r="15">
          <cell r="C15" t="str">
            <v>A</v>
          </cell>
          <cell r="D15">
            <v>4</v>
          </cell>
        </row>
        <row r="16">
          <cell r="C16" t="str">
            <v>A+</v>
          </cell>
          <cell r="D16">
            <v>4.3330000000000002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yeshaagja@nirmauni.ac.in" TargetMode="External"/><Relationship Id="rId3" Type="http://schemas.openxmlformats.org/officeDocument/2006/relationships/hyperlink" Target="mailto:dinesh.panchal@nirmauni.ac.in" TargetMode="External"/><Relationship Id="rId7" Type="http://schemas.openxmlformats.org/officeDocument/2006/relationships/hyperlink" Target="mailto:somayya.madakam@nirmauni.ac.in" TargetMode="External"/><Relationship Id="rId2" Type="http://schemas.openxmlformats.org/officeDocument/2006/relationships/hyperlink" Target="mailto:dipakrai@nirmauni.ac.in" TargetMode="External"/><Relationship Id="rId1" Type="http://schemas.openxmlformats.org/officeDocument/2006/relationships/hyperlink" Target="mailto:pradeep.kautish@nirmauni.ac.in," TargetMode="External"/><Relationship Id="rId6" Type="http://schemas.openxmlformats.org/officeDocument/2006/relationships/hyperlink" Target="mailto:rajeshshah@nirmauni.ac.in," TargetMode="External"/><Relationship Id="rId5" Type="http://schemas.openxmlformats.org/officeDocument/2006/relationships/hyperlink" Target="mailto:lalit.arora@nirmauni.ac.in," TargetMode="External"/><Relationship Id="rId4" Type="http://schemas.openxmlformats.org/officeDocument/2006/relationships/hyperlink" Target="mailto:sanjayjain@nirmauni.ac.in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view="pageBreakPreview" zoomScale="85" zoomScaleNormal="85" zoomScaleSheetLayoutView="85" workbookViewId="0"/>
  </sheetViews>
  <sheetFormatPr defaultRowHeight="18.95" customHeight="1" x14ac:dyDescent="0.2"/>
  <cols>
    <col min="1" max="1" width="7" style="25" customWidth="1"/>
    <col min="2" max="2" width="19" style="25" bestFit="1" customWidth="1"/>
    <col min="3" max="3" width="10.5703125" style="25" bestFit="1" customWidth="1"/>
    <col min="4" max="4" width="38.140625" style="13" customWidth="1"/>
    <col min="5" max="5" width="17.5703125" style="25" bestFit="1" customWidth="1"/>
    <col min="6" max="6" width="8.140625" style="25" bestFit="1" customWidth="1"/>
    <col min="7" max="7" width="37.7109375" style="13" customWidth="1"/>
    <col min="8" max="8" width="9.7109375" style="25" customWidth="1"/>
    <col min="9" max="9" width="42.28515625" style="25" customWidth="1"/>
    <col min="10" max="10" width="10.140625" style="25" customWidth="1"/>
    <col min="11" max="11" width="9.5703125" style="25" customWidth="1"/>
    <col min="12" max="12" width="16.42578125" style="25" hidden="1" customWidth="1"/>
    <col min="13" max="13" width="21.140625" style="37" customWidth="1"/>
    <col min="14" max="14" width="19.140625" style="25" bestFit="1" customWidth="1"/>
    <col min="15" max="15" width="16.42578125" style="25" customWidth="1"/>
    <col min="16" max="16" width="29.7109375" style="25" customWidth="1"/>
    <col min="17" max="17" width="24.140625" style="25" customWidth="1"/>
    <col min="18" max="20" width="8.7109375" style="25" customWidth="1"/>
    <col min="21" max="21" width="38.85546875" style="37" customWidth="1"/>
    <col min="22" max="22" width="13.85546875" style="13" customWidth="1"/>
    <col min="23" max="25" width="9.140625" style="13" customWidth="1"/>
    <col min="26" max="16384" width="9.140625" style="13"/>
  </cols>
  <sheetData>
    <row r="1" spans="1:24" ht="31.5" x14ac:dyDescent="0.2">
      <c r="A1" s="6" t="s">
        <v>11</v>
      </c>
      <c r="B1" s="7" t="s">
        <v>12</v>
      </c>
      <c r="C1" s="6" t="s">
        <v>13</v>
      </c>
      <c r="D1" s="26" t="s">
        <v>14</v>
      </c>
      <c r="E1" s="6" t="s">
        <v>15</v>
      </c>
      <c r="F1" s="7" t="s">
        <v>16</v>
      </c>
      <c r="G1" s="6" t="s">
        <v>17</v>
      </c>
      <c r="H1" s="7" t="s">
        <v>18</v>
      </c>
      <c r="I1" s="7" t="s">
        <v>58</v>
      </c>
      <c r="J1" s="7" t="s">
        <v>19</v>
      </c>
      <c r="K1" s="7" t="s">
        <v>20</v>
      </c>
      <c r="L1" s="7" t="s">
        <v>161</v>
      </c>
      <c r="M1" s="27" t="s">
        <v>23</v>
      </c>
      <c r="N1" s="7" t="s">
        <v>21</v>
      </c>
      <c r="O1" s="7" t="s">
        <v>75</v>
      </c>
      <c r="P1" s="7" t="s">
        <v>73</v>
      </c>
      <c r="Q1" s="7" t="s">
        <v>51</v>
      </c>
      <c r="R1" s="7" t="s">
        <v>52</v>
      </c>
      <c r="S1" s="7" t="s">
        <v>22</v>
      </c>
      <c r="T1" s="7" t="s">
        <v>72</v>
      </c>
      <c r="U1" s="26" t="s">
        <v>24</v>
      </c>
      <c r="V1" s="7" t="s">
        <v>41</v>
      </c>
      <c r="X1" s="13" t="s">
        <v>73</v>
      </c>
    </row>
    <row r="2" spans="1:24" ht="47.25" x14ac:dyDescent="0.2">
      <c r="A2" s="10">
        <v>1</v>
      </c>
      <c r="B2" s="57" t="s">
        <v>210</v>
      </c>
      <c r="C2" s="60" t="s">
        <v>28</v>
      </c>
      <c r="D2" s="22" t="s">
        <v>29</v>
      </c>
      <c r="E2" s="15" t="s">
        <v>27</v>
      </c>
      <c r="F2" s="28">
        <v>3</v>
      </c>
      <c r="G2" s="22" t="s">
        <v>81</v>
      </c>
      <c r="H2" s="41" t="s">
        <v>242</v>
      </c>
      <c r="I2" s="41" t="s">
        <v>123</v>
      </c>
      <c r="J2" s="29" t="s">
        <v>82</v>
      </c>
      <c r="K2" s="29" t="s">
        <v>162</v>
      </c>
      <c r="L2" s="29" t="s">
        <v>62</v>
      </c>
      <c r="M2" s="56" t="s">
        <v>185</v>
      </c>
      <c r="N2" s="53"/>
      <c r="O2" s="29"/>
      <c r="P2" s="29"/>
      <c r="Q2" s="11"/>
      <c r="R2" s="11"/>
      <c r="S2" s="11"/>
      <c r="T2" s="11">
        <v>120</v>
      </c>
      <c r="U2" s="12"/>
      <c r="V2" s="42" t="s">
        <v>62</v>
      </c>
      <c r="W2" s="13" t="s">
        <v>42</v>
      </c>
    </row>
    <row r="3" spans="1:24" ht="31.5" x14ac:dyDescent="0.2">
      <c r="A3" s="10">
        <f>+A2+1</f>
        <v>2</v>
      </c>
      <c r="B3" s="57" t="s">
        <v>211</v>
      </c>
      <c r="C3" s="60" t="s">
        <v>30</v>
      </c>
      <c r="D3" s="22" t="s">
        <v>31</v>
      </c>
      <c r="E3" s="15" t="s">
        <v>27</v>
      </c>
      <c r="F3" s="28">
        <v>3</v>
      </c>
      <c r="G3" s="22" t="s">
        <v>121</v>
      </c>
      <c r="H3" s="41" t="s">
        <v>243</v>
      </c>
      <c r="I3" s="41" t="s">
        <v>174</v>
      </c>
      <c r="J3" s="29" t="s">
        <v>83</v>
      </c>
      <c r="K3" s="29" t="s">
        <v>163</v>
      </c>
      <c r="L3" s="10" t="s">
        <v>200</v>
      </c>
      <c r="M3" s="30" t="s">
        <v>189</v>
      </c>
      <c r="N3" s="10"/>
      <c r="O3" s="10"/>
      <c r="P3" s="10"/>
      <c r="Q3" s="10"/>
      <c r="R3" s="10"/>
      <c r="S3" s="10"/>
      <c r="T3" s="29">
        <v>90</v>
      </c>
      <c r="U3" s="29"/>
      <c r="V3" s="10" t="s">
        <v>63</v>
      </c>
      <c r="X3" s="13" t="s">
        <v>62</v>
      </c>
    </row>
    <row r="4" spans="1:24" ht="28.5" customHeight="1" x14ac:dyDescent="0.2">
      <c r="A4" s="10">
        <f>+A3+1</f>
        <v>3</v>
      </c>
      <c r="B4" s="58" t="s">
        <v>212</v>
      </c>
      <c r="C4" s="61" t="s">
        <v>53</v>
      </c>
      <c r="D4" s="47" t="s">
        <v>54</v>
      </c>
      <c r="E4" s="15" t="s">
        <v>27</v>
      </c>
      <c r="F4" s="31">
        <v>3</v>
      </c>
      <c r="G4" s="48" t="s">
        <v>164</v>
      </c>
      <c r="H4" s="10" t="s">
        <v>244</v>
      </c>
      <c r="I4" s="45" t="s">
        <v>173</v>
      </c>
      <c r="J4" s="29">
        <v>2</v>
      </c>
      <c r="K4" s="29">
        <v>107</v>
      </c>
      <c r="L4" s="29" t="s">
        <v>62</v>
      </c>
      <c r="M4" s="30" t="s">
        <v>189</v>
      </c>
      <c r="N4" s="10"/>
      <c r="O4" s="29"/>
      <c r="P4" s="29"/>
      <c r="Q4" s="32"/>
      <c r="R4" s="32"/>
      <c r="S4" s="32"/>
      <c r="T4" s="32">
        <v>60</v>
      </c>
      <c r="U4" s="17"/>
      <c r="V4" s="42"/>
      <c r="X4" s="13" t="s">
        <v>62</v>
      </c>
    </row>
    <row r="5" spans="1:24" ht="28.5" customHeight="1" x14ac:dyDescent="0.2">
      <c r="A5" s="10">
        <f t="shared" ref="A5:A17" si="0">+A4+1</f>
        <v>4</v>
      </c>
      <c r="B5" s="58" t="s">
        <v>213</v>
      </c>
      <c r="C5" s="61" t="s">
        <v>10</v>
      </c>
      <c r="D5" s="47" t="s">
        <v>112</v>
      </c>
      <c r="E5" s="15" t="s">
        <v>27</v>
      </c>
      <c r="F5" s="31">
        <v>3</v>
      </c>
      <c r="G5" s="49" t="s">
        <v>113</v>
      </c>
      <c r="H5" s="10" t="s">
        <v>249</v>
      </c>
      <c r="I5" s="46" t="s">
        <v>172</v>
      </c>
      <c r="J5" s="29">
        <v>3</v>
      </c>
      <c r="K5" s="29" t="s">
        <v>165</v>
      </c>
      <c r="L5" s="29" t="s">
        <v>62</v>
      </c>
      <c r="M5" s="33" t="s">
        <v>186</v>
      </c>
      <c r="N5" s="10"/>
      <c r="O5" s="29"/>
      <c r="P5" s="29"/>
      <c r="Q5" s="32"/>
      <c r="R5" s="32"/>
      <c r="S5" s="32"/>
      <c r="T5" s="32">
        <v>90</v>
      </c>
      <c r="U5" s="17"/>
      <c r="V5" s="42"/>
      <c r="W5" s="13" t="s">
        <v>61</v>
      </c>
    </row>
    <row r="6" spans="1:24" ht="45" x14ac:dyDescent="0.2">
      <c r="A6" s="10">
        <f t="shared" si="0"/>
        <v>5</v>
      </c>
      <c r="B6" s="57" t="s">
        <v>214</v>
      </c>
      <c r="C6" s="62" t="s">
        <v>66</v>
      </c>
      <c r="D6" s="47" t="s">
        <v>226</v>
      </c>
      <c r="E6" s="2" t="s">
        <v>25</v>
      </c>
      <c r="F6" s="19">
        <v>3</v>
      </c>
      <c r="G6" s="72" t="s">
        <v>232</v>
      </c>
      <c r="H6" s="29" t="s">
        <v>246</v>
      </c>
      <c r="I6" s="45" t="s">
        <v>171</v>
      </c>
      <c r="J6" s="29" t="s">
        <v>114</v>
      </c>
      <c r="K6" s="29" t="s">
        <v>167</v>
      </c>
      <c r="L6" s="29" t="s">
        <v>62</v>
      </c>
      <c r="M6" s="17" t="s">
        <v>187</v>
      </c>
      <c r="N6" s="10"/>
      <c r="O6" s="29"/>
      <c r="P6" s="29"/>
      <c r="Q6" s="20"/>
      <c r="R6" s="20"/>
      <c r="S6" s="20"/>
      <c r="T6" s="20">
        <v>90</v>
      </c>
      <c r="U6" s="17"/>
      <c r="V6" s="10"/>
    </row>
    <row r="7" spans="1:24" ht="49.5" customHeight="1" x14ac:dyDescent="0.2">
      <c r="A7" s="10">
        <f t="shared" si="0"/>
        <v>6</v>
      </c>
      <c r="B7" s="57" t="s">
        <v>215</v>
      </c>
      <c r="C7" s="62" t="s">
        <v>55</v>
      </c>
      <c r="D7" s="18" t="s">
        <v>76</v>
      </c>
      <c r="E7" s="2" t="s">
        <v>25</v>
      </c>
      <c r="F7" s="19">
        <v>3</v>
      </c>
      <c r="G7" s="22" t="s">
        <v>122</v>
      </c>
      <c r="H7" s="29" t="s">
        <v>247</v>
      </c>
      <c r="I7" s="29" t="s">
        <v>170</v>
      </c>
      <c r="J7" s="29" t="s">
        <v>114</v>
      </c>
      <c r="K7" s="29" t="s">
        <v>168</v>
      </c>
      <c r="L7" s="10" t="s">
        <v>62</v>
      </c>
      <c r="M7" s="17" t="s">
        <v>190</v>
      </c>
      <c r="N7" s="10"/>
      <c r="O7" s="29"/>
      <c r="P7" s="29"/>
      <c r="Q7" s="20"/>
      <c r="R7" s="20"/>
      <c r="S7" s="20"/>
      <c r="T7" s="20">
        <v>90</v>
      </c>
      <c r="U7" s="17"/>
      <c r="V7" s="10"/>
    </row>
    <row r="8" spans="1:24" ht="28.5" customHeight="1" x14ac:dyDescent="0.2">
      <c r="A8" s="10">
        <f t="shared" si="0"/>
        <v>7</v>
      </c>
      <c r="B8" s="57" t="s">
        <v>216</v>
      </c>
      <c r="C8" s="62" t="s">
        <v>115</v>
      </c>
      <c r="D8" s="18" t="s">
        <v>116</v>
      </c>
      <c r="E8" s="2" t="s">
        <v>25</v>
      </c>
      <c r="F8" s="19">
        <v>3</v>
      </c>
      <c r="G8" s="22" t="s">
        <v>169</v>
      </c>
      <c r="H8" s="29" t="s">
        <v>248</v>
      </c>
      <c r="I8" s="45" t="s">
        <v>175</v>
      </c>
      <c r="J8" s="29" t="s">
        <v>83</v>
      </c>
      <c r="K8" s="29" t="s">
        <v>176</v>
      </c>
      <c r="L8" s="29" t="s">
        <v>62</v>
      </c>
      <c r="M8" s="17" t="s">
        <v>188</v>
      </c>
      <c r="N8" s="10"/>
      <c r="O8" s="29"/>
      <c r="P8" s="29"/>
      <c r="Q8" s="20"/>
      <c r="R8" s="20"/>
      <c r="S8" s="20"/>
      <c r="T8" s="20">
        <v>90</v>
      </c>
      <c r="U8" s="17"/>
      <c r="V8" s="10"/>
    </row>
    <row r="9" spans="1:24" ht="77.25" customHeight="1" x14ac:dyDescent="0.2">
      <c r="A9" s="10">
        <f t="shared" si="0"/>
        <v>8</v>
      </c>
      <c r="B9" s="57" t="s">
        <v>217</v>
      </c>
      <c r="C9" s="62" t="s">
        <v>32</v>
      </c>
      <c r="D9" s="18" t="s">
        <v>33</v>
      </c>
      <c r="E9" s="2" t="s">
        <v>25</v>
      </c>
      <c r="F9" s="19">
        <v>3</v>
      </c>
      <c r="G9" s="18" t="s">
        <v>177</v>
      </c>
      <c r="H9" s="29" t="s">
        <v>247</v>
      </c>
      <c r="I9" s="29" t="s">
        <v>124</v>
      </c>
      <c r="J9" s="29" t="s">
        <v>83</v>
      </c>
      <c r="K9" s="29" t="s">
        <v>178</v>
      </c>
      <c r="L9" s="10" t="s">
        <v>62</v>
      </c>
      <c r="M9" s="17" t="s">
        <v>191</v>
      </c>
      <c r="N9" s="10"/>
      <c r="O9" s="29"/>
      <c r="P9" s="10"/>
      <c r="Q9" s="20"/>
      <c r="R9" s="20"/>
      <c r="S9" s="20"/>
      <c r="T9" s="20">
        <v>90</v>
      </c>
      <c r="U9" s="34"/>
      <c r="V9" s="10"/>
      <c r="W9" s="13" t="s">
        <v>42</v>
      </c>
      <c r="X9" s="13" t="s">
        <v>62</v>
      </c>
    </row>
    <row r="10" spans="1:24" ht="82.5" customHeight="1" x14ac:dyDescent="0.2">
      <c r="A10" s="10">
        <f t="shared" si="0"/>
        <v>9</v>
      </c>
      <c r="B10" s="59" t="s">
        <v>218</v>
      </c>
      <c r="C10" s="62" t="s">
        <v>34</v>
      </c>
      <c r="D10" s="18" t="s">
        <v>117</v>
      </c>
      <c r="E10" s="2" t="s">
        <v>25</v>
      </c>
      <c r="F10" s="16">
        <v>3</v>
      </c>
      <c r="G10" s="33" t="s">
        <v>119</v>
      </c>
      <c r="H10" s="29" t="s">
        <v>249</v>
      </c>
      <c r="I10" s="10" t="s">
        <v>59</v>
      </c>
      <c r="J10" s="29" t="s">
        <v>179</v>
      </c>
      <c r="K10" s="29" t="s">
        <v>180</v>
      </c>
      <c r="L10" s="29" t="s">
        <v>62</v>
      </c>
      <c r="M10" s="17" t="s">
        <v>192</v>
      </c>
      <c r="N10" s="10"/>
      <c r="O10" s="29"/>
      <c r="P10" s="29"/>
      <c r="Q10" s="10"/>
      <c r="R10" s="10"/>
      <c r="S10" s="10"/>
      <c r="T10" s="10">
        <v>60</v>
      </c>
      <c r="U10" s="17"/>
      <c r="V10" s="10" t="s">
        <v>62</v>
      </c>
    </row>
    <row r="11" spans="1:24" ht="63" x14ac:dyDescent="0.2">
      <c r="A11" s="10">
        <f t="shared" si="0"/>
        <v>10</v>
      </c>
      <c r="B11" s="57" t="s">
        <v>219</v>
      </c>
      <c r="C11" s="62" t="s">
        <v>56</v>
      </c>
      <c r="D11" s="18" t="s">
        <v>85</v>
      </c>
      <c r="E11" s="2" t="s">
        <v>57</v>
      </c>
      <c r="F11" s="16">
        <v>3</v>
      </c>
      <c r="G11" s="33" t="s">
        <v>235</v>
      </c>
      <c r="H11" s="10" t="s">
        <v>249</v>
      </c>
      <c r="I11" s="45" t="s">
        <v>238</v>
      </c>
      <c r="J11" s="10">
        <v>1</v>
      </c>
      <c r="K11" s="29" t="s">
        <v>181</v>
      </c>
      <c r="L11" s="29" t="s">
        <v>198</v>
      </c>
      <c r="M11" s="17" t="s">
        <v>252</v>
      </c>
      <c r="N11" s="10"/>
      <c r="O11" s="29"/>
      <c r="P11" s="29"/>
      <c r="Q11" s="10"/>
      <c r="R11" s="10"/>
      <c r="S11" s="10"/>
      <c r="T11" s="10">
        <v>30</v>
      </c>
      <c r="U11" s="14"/>
      <c r="V11" s="10"/>
    </row>
    <row r="12" spans="1:24" ht="57" customHeight="1" x14ac:dyDescent="0.2">
      <c r="A12" s="10">
        <f t="shared" si="0"/>
        <v>11</v>
      </c>
      <c r="B12" s="57" t="s">
        <v>220</v>
      </c>
      <c r="C12" s="62" t="s">
        <v>36</v>
      </c>
      <c r="D12" s="18" t="s">
        <v>37</v>
      </c>
      <c r="E12" s="2" t="s">
        <v>64</v>
      </c>
      <c r="F12" s="19">
        <v>3</v>
      </c>
      <c r="G12" s="18" t="s">
        <v>199</v>
      </c>
      <c r="H12" s="29" t="s">
        <v>245</v>
      </c>
      <c r="I12" s="45" t="s">
        <v>182</v>
      </c>
      <c r="J12" s="29">
        <v>3</v>
      </c>
      <c r="K12" s="10">
        <v>151</v>
      </c>
      <c r="L12" s="29" t="s">
        <v>198</v>
      </c>
      <c r="M12" s="17" t="s">
        <v>193</v>
      </c>
      <c r="N12" s="10"/>
      <c r="O12" s="29"/>
      <c r="P12" s="29"/>
      <c r="Q12" s="20"/>
      <c r="R12" s="20"/>
      <c r="S12" s="20"/>
      <c r="T12" s="20">
        <v>90</v>
      </c>
      <c r="U12" s="33"/>
      <c r="V12" s="10"/>
      <c r="W12" s="13" t="s">
        <v>60</v>
      </c>
      <c r="X12" s="13" t="s">
        <v>74</v>
      </c>
    </row>
    <row r="13" spans="1:24" ht="63" customHeight="1" x14ac:dyDescent="0.2">
      <c r="A13" s="10">
        <f t="shared" si="0"/>
        <v>12</v>
      </c>
      <c r="B13" s="57" t="s">
        <v>221</v>
      </c>
      <c r="C13" s="60" t="s">
        <v>67</v>
      </c>
      <c r="D13" s="22" t="s">
        <v>77</v>
      </c>
      <c r="E13" s="10" t="s">
        <v>64</v>
      </c>
      <c r="F13" s="16">
        <v>3</v>
      </c>
      <c r="G13" s="22" t="s">
        <v>120</v>
      </c>
      <c r="H13" s="29" t="s">
        <v>250</v>
      </c>
      <c r="I13" s="10" t="s">
        <v>69</v>
      </c>
      <c r="J13" s="10">
        <v>2</v>
      </c>
      <c r="K13" s="10">
        <v>145</v>
      </c>
      <c r="L13" s="29" t="s">
        <v>200</v>
      </c>
      <c r="M13" s="17" t="s">
        <v>194</v>
      </c>
      <c r="N13" s="10"/>
      <c r="O13" s="29"/>
      <c r="P13" s="29"/>
      <c r="Q13" s="10"/>
      <c r="R13" s="10"/>
      <c r="S13" s="10"/>
      <c r="T13" s="10">
        <v>60</v>
      </c>
      <c r="U13" s="33"/>
      <c r="V13" s="42"/>
    </row>
    <row r="14" spans="1:24" s="23" customFormat="1" ht="28.5" customHeight="1" x14ac:dyDescent="0.2">
      <c r="A14" s="10">
        <f t="shared" si="0"/>
        <v>13</v>
      </c>
      <c r="B14" s="58" t="s">
        <v>222</v>
      </c>
      <c r="C14" s="62" t="s">
        <v>35</v>
      </c>
      <c r="D14" s="18" t="s">
        <v>78</v>
      </c>
      <c r="E14" s="10" t="s">
        <v>64</v>
      </c>
      <c r="F14" s="16">
        <v>3</v>
      </c>
      <c r="G14" s="18" t="s">
        <v>201</v>
      </c>
      <c r="H14" s="10" t="s">
        <v>251</v>
      </c>
      <c r="I14" s="45" t="s">
        <v>237</v>
      </c>
      <c r="J14" s="10">
        <v>2</v>
      </c>
      <c r="K14" s="10">
        <v>147</v>
      </c>
      <c r="L14" s="29" t="s">
        <v>62</v>
      </c>
      <c r="M14" s="20" t="s">
        <v>195</v>
      </c>
      <c r="N14" s="10"/>
      <c r="O14" s="29"/>
      <c r="P14" s="29"/>
      <c r="Q14" s="10"/>
      <c r="R14" s="10"/>
      <c r="S14" s="10"/>
      <c r="T14" s="10">
        <v>60</v>
      </c>
      <c r="U14" s="22"/>
      <c r="V14" s="10"/>
      <c r="W14" s="13" t="s">
        <v>42</v>
      </c>
    </row>
    <row r="15" spans="1:24" s="43" customFormat="1" ht="28.5" customHeight="1" x14ac:dyDescent="0.2">
      <c r="A15" s="10">
        <f t="shared" si="0"/>
        <v>14</v>
      </c>
      <c r="B15" s="58" t="s">
        <v>223</v>
      </c>
      <c r="C15" s="62" t="s">
        <v>68</v>
      </c>
      <c r="D15" s="18" t="s">
        <v>84</v>
      </c>
      <c r="E15" s="10" t="s">
        <v>65</v>
      </c>
      <c r="F15" s="19">
        <v>3</v>
      </c>
      <c r="G15" s="18" t="s">
        <v>233</v>
      </c>
      <c r="H15" s="10" t="s">
        <v>249</v>
      </c>
      <c r="I15" s="45" t="s">
        <v>239</v>
      </c>
      <c r="J15" s="10">
        <v>2</v>
      </c>
      <c r="K15" s="29" t="s">
        <v>183</v>
      </c>
      <c r="L15" s="29" t="s">
        <v>62</v>
      </c>
      <c r="M15" s="21" t="s">
        <v>196</v>
      </c>
      <c r="N15" s="10"/>
      <c r="O15" s="29"/>
      <c r="P15" s="29"/>
      <c r="Q15" s="20"/>
      <c r="R15" s="20"/>
      <c r="S15" s="20"/>
      <c r="T15" s="20">
        <v>60</v>
      </c>
      <c r="U15" s="33"/>
      <c r="V15" s="42"/>
    </row>
    <row r="16" spans="1:24" ht="40.5" customHeight="1" x14ac:dyDescent="0.2">
      <c r="A16" s="10">
        <f t="shared" si="0"/>
        <v>15</v>
      </c>
      <c r="B16" s="57" t="s">
        <v>224</v>
      </c>
      <c r="C16" s="61" t="s">
        <v>79</v>
      </c>
      <c r="D16" s="18" t="s">
        <v>80</v>
      </c>
      <c r="E16" s="2" t="s">
        <v>71</v>
      </c>
      <c r="F16" s="31">
        <v>3</v>
      </c>
      <c r="G16" s="18" t="s">
        <v>197</v>
      </c>
      <c r="H16" s="29" t="s">
        <v>249</v>
      </c>
      <c r="I16" s="45" t="s">
        <v>125</v>
      </c>
      <c r="J16" s="29">
        <v>1</v>
      </c>
      <c r="K16" s="29" t="s">
        <v>166</v>
      </c>
      <c r="L16" s="29" t="s">
        <v>62</v>
      </c>
      <c r="M16" s="37" t="s">
        <v>197</v>
      </c>
      <c r="N16" s="29"/>
      <c r="O16" s="29"/>
      <c r="P16" s="29"/>
      <c r="Q16" s="29"/>
      <c r="R16" s="29"/>
      <c r="S16" s="29"/>
      <c r="T16" s="25">
        <v>30</v>
      </c>
    </row>
    <row r="17" spans="1:22" s="43" customFormat="1" ht="28.5" customHeight="1" x14ac:dyDescent="0.2">
      <c r="A17" s="10">
        <f t="shared" si="0"/>
        <v>16</v>
      </c>
      <c r="B17" s="15" t="s">
        <v>225</v>
      </c>
      <c r="C17" s="61" t="s">
        <v>109</v>
      </c>
      <c r="D17" s="18" t="s">
        <v>110</v>
      </c>
      <c r="E17" s="2" t="s">
        <v>111</v>
      </c>
      <c r="F17" s="31">
        <v>6</v>
      </c>
      <c r="G17" s="18" t="s">
        <v>184</v>
      </c>
      <c r="H17" s="29"/>
      <c r="I17" s="45" t="s">
        <v>236</v>
      </c>
      <c r="J17" s="29">
        <v>1</v>
      </c>
      <c r="K17" s="29"/>
      <c r="L17" s="29"/>
      <c r="M17" s="33" t="s">
        <v>191</v>
      </c>
      <c r="N17" s="29"/>
      <c r="O17" s="29"/>
      <c r="P17" s="29"/>
      <c r="Q17" s="29"/>
      <c r="R17" s="29"/>
      <c r="S17" s="29"/>
      <c r="T17" s="29"/>
      <c r="U17" s="22"/>
      <c r="V17" s="22"/>
    </row>
    <row r="18" spans="1:22" ht="24.95" customHeight="1" x14ac:dyDescent="0.2">
      <c r="A18" s="35"/>
      <c r="E18" s="24" t="s">
        <v>26</v>
      </c>
      <c r="F18" s="36">
        <f>SUM(F2:F17)</f>
        <v>51</v>
      </c>
      <c r="L18" s="51"/>
      <c r="M18" s="52"/>
      <c r="N18" s="51"/>
      <c r="O18" s="51"/>
      <c r="P18" s="51"/>
      <c r="Q18" s="51"/>
      <c r="R18" s="51"/>
      <c r="S18" s="51"/>
      <c r="T18" s="51">
        <f>SUM(T2:T17)</f>
        <v>1110</v>
      </c>
      <c r="U18" s="52"/>
    </row>
    <row r="19" spans="1:22" ht="24.95" customHeight="1" x14ac:dyDescent="0.2">
      <c r="A19" s="35"/>
      <c r="E19" s="51"/>
      <c r="F19" s="51"/>
      <c r="L19" s="51"/>
      <c r="M19" s="52"/>
      <c r="N19" s="51"/>
      <c r="O19" s="51"/>
      <c r="P19" s="51"/>
      <c r="Q19" s="51"/>
      <c r="R19" s="51"/>
      <c r="S19" s="51"/>
      <c r="T19" s="51"/>
      <c r="U19" s="52"/>
    </row>
    <row r="20" spans="1:22" ht="24.95" customHeight="1" x14ac:dyDescent="0.2">
      <c r="A20" s="35"/>
      <c r="E20" s="51"/>
      <c r="F20" s="51"/>
      <c r="G20" s="13">
        <f>137/2</f>
        <v>68.5</v>
      </c>
      <c r="L20" s="51"/>
      <c r="M20" s="52"/>
      <c r="N20" s="51"/>
      <c r="O20" s="51"/>
      <c r="P20" s="51"/>
      <c r="Q20" s="51"/>
      <c r="R20" s="51"/>
      <c r="S20" s="51"/>
      <c r="T20" s="51"/>
      <c r="U20" s="52"/>
    </row>
    <row r="21" spans="1:22" ht="24.95" customHeight="1" x14ac:dyDescent="0.2">
      <c r="A21" s="35"/>
      <c r="D21" s="13">
        <f>175/3</f>
        <v>58.333333333333336</v>
      </c>
      <c r="E21" s="51"/>
      <c r="F21" s="51"/>
      <c r="G21" s="37">
        <f>94/2</f>
        <v>47</v>
      </c>
      <c r="L21" s="51"/>
      <c r="M21" s="52"/>
      <c r="N21" s="51"/>
      <c r="O21" s="51"/>
      <c r="P21" s="51"/>
      <c r="Q21" s="51"/>
      <c r="R21" s="51"/>
      <c r="S21" s="51"/>
      <c r="T21" s="51"/>
      <c r="U21" s="52"/>
    </row>
    <row r="22" spans="1:22" ht="24.95" customHeight="1" x14ac:dyDescent="0.2">
      <c r="A22" s="35"/>
      <c r="D22" s="13">
        <f>27/3</f>
        <v>9</v>
      </c>
      <c r="E22" s="51"/>
      <c r="F22" s="51"/>
      <c r="G22" s="13">
        <f>147/2</f>
        <v>73.5</v>
      </c>
      <c r="L22" s="51"/>
      <c r="M22" s="52"/>
      <c r="N22" s="51"/>
      <c r="O22" s="51"/>
      <c r="P22" s="51"/>
      <c r="Q22" s="51"/>
      <c r="R22" s="51"/>
      <c r="S22" s="51"/>
      <c r="T22" s="51"/>
      <c r="U22" s="52"/>
    </row>
    <row r="23" spans="1:22" ht="24.95" customHeight="1" x14ac:dyDescent="0.2">
      <c r="A23" s="35"/>
      <c r="E23" s="51"/>
      <c r="F23" s="51"/>
      <c r="L23" s="51"/>
      <c r="M23" s="52"/>
      <c r="N23" s="51"/>
      <c r="O23" s="51"/>
      <c r="P23" s="51"/>
      <c r="Q23" s="51"/>
      <c r="R23" s="51"/>
      <c r="S23" s="51"/>
      <c r="T23" s="51"/>
      <c r="U23" s="52"/>
    </row>
    <row r="24" spans="1:22" ht="24.95" customHeight="1" x14ac:dyDescent="0.2">
      <c r="A24" s="35"/>
      <c r="E24" s="51"/>
      <c r="F24" s="51"/>
      <c r="L24" s="51"/>
      <c r="M24" s="52"/>
      <c r="N24" s="51"/>
      <c r="O24" s="51"/>
      <c r="P24" s="51"/>
      <c r="Q24" s="51"/>
      <c r="R24" s="51"/>
      <c r="S24" s="51"/>
      <c r="T24" s="51"/>
      <c r="U24" s="52"/>
    </row>
    <row r="25" spans="1:22" ht="24.95" customHeight="1" x14ac:dyDescent="0.2">
      <c r="A25" s="35"/>
      <c r="E25" s="51"/>
      <c r="F25" s="51"/>
      <c r="L25" s="51"/>
      <c r="M25" s="52"/>
      <c r="N25" s="51"/>
      <c r="O25" s="51"/>
      <c r="P25" s="51"/>
      <c r="Q25" s="51"/>
      <c r="R25" s="51"/>
      <c r="S25" s="51"/>
      <c r="T25" s="51"/>
      <c r="U25" s="52"/>
    </row>
    <row r="26" spans="1:22" ht="18.95" customHeight="1" x14ac:dyDescent="0.2">
      <c r="H26" s="25">
        <f>27/2</f>
        <v>13.5</v>
      </c>
    </row>
    <row r="27" spans="1:22" ht="18.95" customHeight="1" x14ac:dyDescent="0.2">
      <c r="G27" s="13">
        <f>175/3</f>
        <v>58.333333333333336</v>
      </c>
    </row>
  </sheetData>
  <autoFilter ref="A1:W19" xr:uid="{00000000-0001-0000-0000-000000000000}"/>
  <hyperlinks>
    <hyperlink ref="I6" r:id="rId1" display="pradeep.kautish@nirmauni.ac.in,_x000a_" xr:uid="{B96F51E9-95A9-462A-9C24-38262EC05A3C}"/>
    <hyperlink ref="I14" r:id="rId2" display="dipakrai@nirmauni.ac.in_x000a_" xr:uid="{98DCA64B-D337-479D-94A7-8673DA33F0BB}"/>
    <hyperlink ref="I15" r:id="rId3" display="dinesh.panchal@nirmauni.ac.in" xr:uid="{5DE77399-CE3C-42F2-B89C-133004886693}"/>
    <hyperlink ref="I8" r:id="rId4" display="sanjayjain@nirmauni.ac.in" xr:uid="{5AA8DE5A-485F-4063-AFDD-E7EB43D51FE5}"/>
    <hyperlink ref="I5" r:id="rId5" xr:uid="{56B6D839-9458-4C31-8BC5-578330B59E67}"/>
    <hyperlink ref="I4" r:id="rId6" xr:uid="{A91F1D7C-113A-4ECD-9A99-AA5C2882804E}"/>
    <hyperlink ref="I12" r:id="rId7" xr:uid="{6C5CE10F-23EC-4421-9008-811130FEB4E0}"/>
    <hyperlink ref="I17" r:id="rId8" xr:uid="{E2F691B5-8EC0-4F90-ABAF-615785FDBE40}"/>
  </hyperlinks>
  <printOptions horizontalCentered="1"/>
  <pageMargins left="0.15748031496062992" right="0.15748031496062992" top="0.82677165354330717" bottom="0.23622047244094491" header="0.23622047244094491" footer="0.27559055118110237"/>
  <pageSetup paperSize="9" scale="60" orientation="landscape" r:id="rId9"/>
  <headerFooter alignWithMargins="0">
    <oddHeader>&amp;C&amp;"+,Bold"&amp;14Master of Business Administration &amp; B. Tech. CSE-MBA
Batch: 2025 - 2027 &amp; 2022-27 (Term - IV)
Details of Courses</oddHeader>
  </headerFooter>
  <rowBreaks count="1" manualBreakCount="1">
    <brk id="18" max="16383" man="1"/>
  </rowBreaks>
  <colBreaks count="3" manualBreakCount="3">
    <brk id="16" max="19" man="1"/>
    <brk id="18" max="1048575" man="1"/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8DB1-8BC5-4B08-9108-408FEB70DDD1}">
  <dimension ref="A1:AA142"/>
  <sheetViews>
    <sheetView tabSelected="1" view="pageBreakPreview" zoomScale="85" zoomScaleNormal="85" zoomScaleSheetLayoutView="85" workbookViewId="0">
      <selection sqref="A1:A2"/>
    </sheetView>
  </sheetViews>
  <sheetFormatPr defaultRowHeight="18" customHeight="1" x14ac:dyDescent="0.2"/>
  <cols>
    <col min="1" max="1" width="11.7109375" style="69" bestFit="1" customWidth="1"/>
    <col min="2" max="2" width="11.5703125" style="69" customWidth="1"/>
    <col min="3" max="3" width="27.5703125" style="69" customWidth="1"/>
    <col min="4" max="4" width="27.140625" style="69" customWidth="1"/>
    <col min="5" max="5" width="28.28515625" style="69" customWidth="1"/>
    <col min="6" max="7" width="26.7109375" style="69" customWidth="1"/>
    <col min="8" max="8" width="23.42578125" style="69" customWidth="1"/>
    <col min="9" max="9" width="20.5703125" style="69" customWidth="1"/>
    <col min="10" max="10" width="22.5703125" style="69" customWidth="1"/>
    <col min="11" max="12" width="15.7109375" style="69" customWidth="1"/>
    <col min="13" max="13" width="10.5703125" style="69" bestFit="1" customWidth="1"/>
    <col min="14" max="14" width="12" style="69" customWidth="1"/>
    <col min="15" max="15" width="9.85546875" style="69" bestFit="1" customWidth="1"/>
    <col min="16" max="16384" width="9.140625" style="69"/>
  </cols>
  <sheetData>
    <row r="1" spans="1:27" ht="23.25" customHeight="1" x14ac:dyDescent="0.2">
      <c r="A1" s="99" t="s">
        <v>5</v>
      </c>
      <c r="B1" s="101" t="s">
        <v>6</v>
      </c>
      <c r="C1" s="6" t="s">
        <v>0</v>
      </c>
      <c r="D1" s="6" t="s">
        <v>1</v>
      </c>
      <c r="E1" s="6" t="s">
        <v>2</v>
      </c>
      <c r="F1" s="6" t="s">
        <v>3</v>
      </c>
      <c r="G1" s="6"/>
      <c r="H1" s="6" t="s">
        <v>4</v>
      </c>
      <c r="I1" s="6" t="s">
        <v>7</v>
      </c>
      <c r="J1" s="6" t="s">
        <v>8</v>
      </c>
      <c r="K1" s="6" t="s">
        <v>9</v>
      </c>
      <c r="L1" s="6" t="s">
        <v>43</v>
      </c>
      <c r="M1" s="6" t="s">
        <v>70</v>
      </c>
      <c r="O1" s="103" t="s">
        <v>5</v>
      </c>
      <c r="P1" s="103" t="s">
        <v>6</v>
      </c>
      <c r="Q1" s="68" t="s">
        <v>0</v>
      </c>
      <c r="R1" s="68" t="s">
        <v>1</v>
      </c>
      <c r="S1" s="68" t="s">
        <v>2</v>
      </c>
      <c r="T1" s="68" t="s">
        <v>3</v>
      </c>
      <c r="U1" s="68"/>
      <c r="V1" s="68" t="s">
        <v>4</v>
      </c>
      <c r="W1" s="68" t="s">
        <v>7</v>
      </c>
      <c r="X1" s="68" t="s">
        <v>8</v>
      </c>
      <c r="Y1" s="68" t="s">
        <v>9</v>
      </c>
      <c r="Z1" s="68" t="s">
        <v>43</v>
      </c>
      <c r="AA1" s="68" t="s">
        <v>70</v>
      </c>
    </row>
    <row r="2" spans="1:27" ht="51" customHeight="1" x14ac:dyDescent="0.2">
      <c r="A2" s="100"/>
      <c r="B2" s="102"/>
      <c r="C2" s="7" t="s">
        <v>133</v>
      </c>
      <c r="D2" s="7" t="s">
        <v>134</v>
      </c>
      <c r="E2" s="7" t="s">
        <v>135</v>
      </c>
      <c r="F2" s="7" t="s">
        <v>136</v>
      </c>
      <c r="G2" s="7" t="s">
        <v>154</v>
      </c>
      <c r="H2" s="7" t="s">
        <v>137</v>
      </c>
      <c r="I2" s="7" t="s">
        <v>138</v>
      </c>
      <c r="J2" s="7" t="s">
        <v>139</v>
      </c>
      <c r="K2" s="7" t="s">
        <v>140</v>
      </c>
      <c r="L2" s="7" t="s">
        <v>141</v>
      </c>
      <c r="M2" s="7" t="s">
        <v>142</v>
      </c>
      <c r="O2" s="103"/>
      <c r="P2" s="103"/>
      <c r="Q2" s="55" t="s">
        <v>133</v>
      </c>
      <c r="R2" s="55" t="s">
        <v>134</v>
      </c>
      <c r="S2" s="55" t="s">
        <v>135</v>
      </c>
      <c r="T2" s="55" t="s">
        <v>136</v>
      </c>
      <c r="U2" s="55" t="s">
        <v>155</v>
      </c>
      <c r="V2" s="55" t="s">
        <v>137</v>
      </c>
      <c r="W2" s="55" t="s">
        <v>138</v>
      </c>
      <c r="X2" s="55" t="s">
        <v>139</v>
      </c>
      <c r="Y2" s="55" t="s">
        <v>140</v>
      </c>
      <c r="Z2" s="55" t="s">
        <v>141</v>
      </c>
      <c r="AA2" s="55" t="s">
        <v>142</v>
      </c>
    </row>
    <row r="3" spans="1:27" ht="30" customHeight="1" x14ac:dyDescent="0.2">
      <c r="A3" s="4">
        <v>46202</v>
      </c>
      <c r="B3" s="44" t="str">
        <f t="shared" ref="B3:B57" si="0">TEXT(A3,"DDDDDDDDDDDDDDDDDDDDDDDDDDD")</f>
        <v>Monday</v>
      </c>
      <c r="C3" s="8" t="s">
        <v>253</v>
      </c>
      <c r="D3" s="8" t="s">
        <v>87</v>
      </c>
      <c r="E3" s="8" t="s">
        <v>240</v>
      </c>
      <c r="F3" s="8" t="s">
        <v>241</v>
      </c>
      <c r="G3" s="8" t="s">
        <v>207</v>
      </c>
      <c r="H3" s="8" t="s">
        <v>234</v>
      </c>
      <c r="I3" s="8" t="s">
        <v>208</v>
      </c>
      <c r="J3" s="8"/>
      <c r="K3" s="8"/>
      <c r="L3" s="8"/>
      <c r="M3" s="71"/>
      <c r="N3" s="69">
        <v>2</v>
      </c>
      <c r="O3" s="4">
        <v>46202</v>
      </c>
      <c r="P3" s="44" t="str">
        <f t="shared" ref="P3:P17" si="1">TEXT(O3,"DDDDDDDDDDDDDDDDDDDDDDDDDDD")</f>
        <v>Monday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30" customHeight="1" x14ac:dyDescent="0.2">
      <c r="A4" s="4">
        <v>46203</v>
      </c>
      <c r="B4" s="44" t="str">
        <f t="shared" si="0"/>
        <v>Tuesday</v>
      </c>
      <c r="C4" s="8"/>
      <c r="D4" s="8" t="s">
        <v>206</v>
      </c>
      <c r="E4" s="8" t="s">
        <v>204</v>
      </c>
      <c r="F4" s="8" t="s">
        <v>205</v>
      </c>
      <c r="G4" s="8" t="s">
        <v>234</v>
      </c>
      <c r="H4" s="8" t="s">
        <v>227</v>
      </c>
      <c r="I4" s="8" t="s">
        <v>256</v>
      </c>
      <c r="J4" s="8" t="s">
        <v>104</v>
      </c>
      <c r="K4" s="50"/>
      <c r="L4" s="8" t="s">
        <v>97</v>
      </c>
      <c r="M4" s="71" t="s">
        <v>209</v>
      </c>
      <c r="N4" s="69">
        <v>3</v>
      </c>
      <c r="O4" s="4">
        <v>46203</v>
      </c>
      <c r="P4" s="44" t="str">
        <f t="shared" si="1"/>
        <v>Tuesday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0" customHeight="1" x14ac:dyDescent="0.2">
      <c r="A5" s="4">
        <v>46204</v>
      </c>
      <c r="B5" s="44" t="str">
        <f t="shared" si="0"/>
        <v>Wednesday</v>
      </c>
      <c r="C5" s="8" t="s">
        <v>86</v>
      </c>
      <c r="D5" s="8" t="s">
        <v>87</v>
      </c>
      <c r="E5" s="8" t="s">
        <v>240</v>
      </c>
      <c r="F5" s="8" t="s">
        <v>241</v>
      </c>
      <c r="G5" s="8" t="s">
        <v>207</v>
      </c>
      <c r="H5" s="8" t="s">
        <v>234</v>
      </c>
      <c r="I5" s="8" t="s">
        <v>208</v>
      </c>
      <c r="J5" s="8"/>
      <c r="K5" s="8"/>
      <c r="L5" s="8"/>
      <c r="M5" s="71"/>
      <c r="N5" s="69">
        <v>4</v>
      </c>
      <c r="O5" s="4">
        <v>46204</v>
      </c>
      <c r="P5" s="44" t="str">
        <f t="shared" si="1"/>
        <v>Wednesday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0" customHeight="1" x14ac:dyDescent="0.2">
      <c r="A6" s="4">
        <v>46205</v>
      </c>
      <c r="B6" s="44" t="str">
        <f t="shared" si="0"/>
        <v>Thursday</v>
      </c>
      <c r="C6" s="8"/>
      <c r="D6" s="8" t="s">
        <v>206</v>
      </c>
      <c r="E6" s="8" t="s">
        <v>204</v>
      </c>
      <c r="F6" s="8" t="s">
        <v>205</v>
      </c>
      <c r="G6" s="8" t="s">
        <v>234</v>
      </c>
      <c r="H6" s="8" t="s">
        <v>227</v>
      </c>
      <c r="I6" s="8" t="s">
        <v>256</v>
      </c>
      <c r="J6" s="8" t="s">
        <v>104</v>
      </c>
      <c r="K6" s="50"/>
      <c r="L6" s="8" t="s">
        <v>97</v>
      </c>
      <c r="M6" s="71" t="s">
        <v>209</v>
      </c>
      <c r="N6" s="69">
        <v>5</v>
      </c>
      <c r="O6" s="4">
        <v>46205</v>
      </c>
      <c r="P6" s="44" t="str">
        <f t="shared" si="1"/>
        <v>Thursday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">
      <c r="A7" s="4">
        <v>46206</v>
      </c>
      <c r="B7" s="44" t="str">
        <f t="shared" si="0"/>
        <v>Friday</v>
      </c>
      <c r="C7" s="8" t="s">
        <v>86</v>
      </c>
      <c r="D7" s="8" t="s">
        <v>87</v>
      </c>
      <c r="E7" s="8" t="s">
        <v>240</v>
      </c>
      <c r="F7" s="8" t="s">
        <v>254</v>
      </c>
      <c r="G7" s="8" t="s">
        <v>207</v>
      </c>
      <c r="H7" s="8" t="s">
        <v>234</v>
      </c>
      <c r="I7" s="8" t="s">
        <v>208</v>
      </c>
      <c r="J7" s="8"/>
      <c r="K7" s="8"/>
      <c r="L7" s="8"/>
      <c r="M7" s="71"/>
      <c r="N7" s="69">
        <v>6</v>
      </c>
      <c r="O7" s="4">
        <v>46206</v>
      </c>
      <c r="P7" s="44" t="str">
        <f t="shared" si="1"/>
        <v>Friday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30" customHeight="1" x14ac:dyDescent="0.2">
      <c r="A8" s="4">
        <v>46207</v>
      </c>
      <c r="B8" s="44" t="str">
        <f t="shared" si="0"/>
        <v>Saturday</v>
      </c>
      <c r="C8" s="8"/>
      <c r="D8" s="8" t="s">
        <v>206</v>
      </c>
      <c r="E8" s="8" t="s">
        <v>204</v>
      </c>
      <c r="F8" s="8" t="s">
        <v>205</v>
      </c>
      <c r="G8" s="8" t="s">
        <v>234</v>
      </c>
      <c r="H8" s="8" t="s">
        <v>227</v>
      </c>
      <c r="I8" s="8" t="s">
        <v>256</v>
      </c>
      <c r="J8" s="8" t="s">
        <v>258</v>
      </c>
      <c r="K8" s="50"/>
      <c r="L8" s="8" t="s">
        <v>97</v>
      </c>
      <c r="M8" s="71" t="s">
        <v>209</v>
      </c>
      <c r="N8" s="69">
        <v>7</v>
      </c>
      <c r="O8" s="4">
        <v>46207</v>
      </c>
      <c r="P8" s="44" t="str">
        <f t="shared" si="1"/>
        <v>Saturday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30" customHeight="1" x14ac:dyDescent="0.2">
      <c r="A9" s="4">
        <v>46208</v>
      </c>
      <c r="B9" s="44" t="str">
        <f t="shared" si="0"/>
        <v>Sunday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40"/>
      <c r="O9" s="4">
        <v>46208</v>
      </c>
      <c r="P9" s="44" t="str">
        <f t="shared" si="1"/>
        <v>Sunday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30" customHeight="1" x14ac:dyDescent="0.2">
      <c r="A10" s="4">
        <v>46209</v>
      </c>
      <c r="B10" s="44" t="str">
        <f t="shared" si="0"/>
        <v>Monday</v>
      </c>
      <c r="C10" s="8" t="s">
        <v>86</v>
      </c>
      <c r="D10" s="8" t="s">
        <v>87</v>
      </c>
      <c r="E10" s="8" t="s">
        <v>202</v>
      </c>
      <c r="F10" s="8" t="s">
        <v>255</v>
      </c>
      <c r="G10" s="8" t="s">
        <v>207</v>
      </c>
      <c r="H10" s="8" t="s">
        <v>234</v>
      </c>
      <c r="I10" s="8" t="s">
        <v>208</v>
      </c>
      <c r="J10" s="8"/>
      <c r="K10" s="8"/>
      <c r="L10" s="8"/>
      <c r="M10" s="71"/>
      <c r="N10" s="69">
        <v>8</v>
      </c>
      <c r="O10" s="4">
        <v>46209</v>
      </c>
      <c r="P10" s="44" t="str">
        <f t="shared" si="1"/>
        <v>Monday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30" customHeight="1" x14ac:dyDescent="0.2">
      <c r="A11" s="4">
        <v>46210</v>
      </c>
      <c r="B11" s="44" t="str">
        <f t="shared" si="0"/>
        <v>Tuesday</v>
      </c>
      <c r="C11" s="8" t="s">
        <v>101</v>
      </c>
      <c r="D11" s="8" t="s">
        <v>206</v>
      </c>
      <c r="E11" s="8" t="s">
        <v>204</v>
      </c>
      <c r="F11" s="8" t="s">
        <v>205</v>
      </c>
      <c r="G11" s="8" t="s">
        <v>234</v>
      </c>
      <c r="H11" s="8" t="s">
        <v>227</v>
      </c>
      <c r="I11" s="8" t="s">
        <v>257</v>
      </c>
      <c r="J11" s="8" t="s">
        <v>258</v>
      </c>
      <c r="K11" s="50"/>
      <c r="L11" s="8" t="s">
        <v>97</v>
      </c>
      <c r="M11" s="71" t="s">
        <v>209</v>
      </c>
      <c r="N11" s="69">
        <v>9</v>
      </c>
      <c r="O11" s="4">
        <v>46210</v>
      </c>
      <c r="P11" s="44" t="str">
        <f t="shared" si="1"/>
        <v>Tuesday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30" customHeight="1" x14ac:dyDescent="0.2">
      <c r="A12" s="4">
        <v>46211</v>
      </c>
      <c r="B12" s="44" t="str">
        <f t="shared" si="0"/>
        <v>Wednesday</v>
      </c>
      <c r="C12" s="8" t="s">
        <v>86</v>
      </c>
      <c r="D12" s="8" t="s">
        <v>87</v>
      </c>
      <c r="E12" s="8" t="s">
        <v>202</v>
      </c>
      <c r="F12" s="8" t="s">
        <v>203</v>
      </c>
      <c r="G12" s="8" t="s">
        <v>207</v>
      </c>
      <c r="H12" s="8" t="s">
        <v>234</v>
      </c>
      <c r="I12" s="8" t="s">
        <v>208</v>
      </c>
      <c r="J12" s="8"/>
      <c r="K12" s="8"/>
      <c r="L12" s="8"/>
      <c r="M12" s="71"/>
      <c r="N12" s="69">
        <v>10</v>
      </c>
      <c r="O12" s="4">
        <v>46211</v>
      </c>
      <c r="P12" s="44" t="str">
        <f t="shared" si="1"/>
        <v>Wednesday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30" customHeight="1" x14ac:dyDescent="0.2">
      <c r="A13" s="4">
        <v>46212</v>
      </c>
      <c r="B13" s="44" t="str">
        <f t="shared" si="0"/>
        <v>Thursday</v>
      </c>
      <c r="C13" s="96" t="s">
        <v>228</v>
      </c>
      <c r="D13" s="97"/>
      <c r="E13" s="97"/>
      <c r="F13" s="97"/>
      <c r="G13" s="97"/>
      <c r="H13" s="97"/>
      <c r="I13" s="97"/>
      <c r="J13" s="97"/>
      <c r="K13" s="97"/>
      <c r="L13" s="97"/>
      <c r="M13" s="98"/>
      <c r="O13" s="4">
        <v>46212</v>
      </c>
      <c r="P13" s="44" t="str">
        <f t="shared" si="1"/>
        <v>Thursday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30" customHeight="1" x14ac:dyDescent="0.2">
      <c r="A14" s="4">
        <v>46212</v>
      </c>
      <c r="B14" s="44" t="str">
        <f t="shared" si="0"/>
        <v>Thursday</v>
      </c>
      <c r="C14" s="8" t="s">
        <v>102</v>
      </c>
      <c r="D14" s="8" t="s">
        <v>206</v>
      </c>
      <c r="E14" s="8" t="s">
        <v>204</v>
      </c>
      <c r="F14" s="8" t="s">
        <v>205</v>
      </c>
      <c r="G14" s="8" t="s">
        <v>234</v>
      </c>
      <c r="H14" s="8" t="s">
        <v>227</v>
      </c>
      <c r="I14" s="8" t="s">
        <v>257</v>
      </c>
      <c r="J14" s="8" t="s">
        <v>258</v>
      </c>
      <c r="K14" s="50"/>
      <c r="L14" s="8" t="s">
        <v>97</v>
      </c>
      <c r="M14" s="71" t="s">
        <v>209</v>
      </c>
      <c r="N14" s="69">
        <v>11</v>
      </c>
      <c r="O14" s="4">
        <v>46212</v>
      </c>
      <c r="P14" s="44" t="str">
        <f t="shared" si="1"/>
        <v>Thursday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30" customHeight="1" x14ac:dyDescent="0.2">
      <c r="A15" s="4">
        <v>46213</v>
      </c>
      <c r="B15" s="44" t="str">
        <f t="shared" si="0"/>
        <v>Friday</v>
      </c>
      <c r="C15" s="8" t="s">
        <v>86</v>
      </c>
      <c r="D15" s="8" t="s">
        <v>87</v>
      </c>
      <c r="E15" s="8" t="s">
        <v>202</v>
      </c>
      <c r="F15" s="8" t="s">
        <v>203</v>
      </c>
      <c r="G15" s="8" t="s">
        <v>207</v>
      </c>
      <c r="H15" s="8" t="s">
        <v>234</v>
      </c>
      <c r="I15" s="8" t="s">
        <v>208</v>
      </c>
      <c r="J15" s="8"/>
      <c r="K15" s="8"/>
      <c r="L15" s="8"/>
      <c r="M15" s="71"/>
      <c r="N15" s="69">
        <v>12</v>
      </c>
      <c r="O15" s="4">
        <v>46213</v>
      </c>
      <c r="P15" s="44" t="str">
        <f t="shared" si="1"/>
        <v>Friday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30" customHeight="1" x14ac:dyDescent="0.2">
      <c r="A16" s="4">
        <v>46214</v>
      </c>
      <c r="B16" s="44" t="str">
        <f t="shared" si="0"/>
        <v>Saturday</v>
      </c>
      <c r="C16" s="9"/>
      <c r="D16" s="8" t="s">
        <v>260</v>
      </c>
      <c r="E16" s="8" t="s">
        <v>259</v>
      </c>
      <c r="F16" s="8" t="s">
        <v>104</v>
      </c>
      <c r="G16" s="9"/>
      <c r="H16" s="8"/>
      <c r="I16" s="8"/>
      <c r="J16" s="8"/>
      <c r="K16" s="9"/>
      <c r="L16" s="8" t="s">
        <v>97</v>
      </c>
      <c r="M16" s="71" t="s">
        <v>209</v>
      </c>
      <c r="O16" s="4">
        <v>46214</v>
      </c>
      <c r="P16" s="44" t="str">
        <f t="shared" si="1"/>
        <v>Saturday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30" customHeight="1" x14ac:dyDescent="0.2">
      <c r="A17" s="4">
        <v>46215</v>
      </c>
      <c r="B17" s="44" t="str">
        <f t="shared" si="0"/>
        <v>Sunday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O17" s="4">
        <v>46215</v>
      </c>
      <c r="P17" s="44" t="str">
        <f t="shared" si="1"/>
        <v>Sunday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30" hidden="1" customHeight="1" x14ac:dyDescent="0.2">
      <c r="A18" s="4">
        <v>46216</v>
      </c>
      <c r="B18" s="44" t="str">
        <f t="shared" si="0"/>
        <v>Monday</v>
      </c>
      <c r="C18" s="8"/>
      <c r="D18" s="8"/>
      <c r="E18" s="8"/>
      <c r="F18" s="70"/>
      <c r="G18" s="70"/>
      <c r="H18" s="8"/>
      <c r="I18" s="8"/>
      <c r="J18" s="8"/>
      <c r="K18" s="8"/>
      <c r="L18" s="8"/>
      <c r="M18" s="8"/>
      <c r="N18" s="40">
        <v>13</v>
      </c>
      <c r="O18" s="4">
        <v>45858</v>
      </c>
      <c r="P18" s="5" t="str">
        <f t="shared" ref="P18:P57" si="2">TEXT(O18,"DDDDDDDDDDDDDDDDDDDDDDDDDDD")</f>
        <v>Sunday</v>
      </c>
      <c r="Q18" s="8" t="s">
        <v>127</v>
      </c>
      <c r="R18" s="8" t="s">
        <v>159</v>
      </c>
      <c r="S18" s="8" t="s">
        <v>126</v>
      </c>
      <c r="T18" s="8" t="s">
        <v>160</v>
      </c>
      <c r="U18" s="8" t="s">
        <v>132</v>
      </c>
      <c r="V18" s="8"/>
      <c r="W18" s="8"/>
      <c r="X18" s="8"/>
      <c r="Y18" s="8"/>
      <c r="Z18" s="8"/>
      <c r="AA18" s="8"/>
    </row>
    <row r="19" spans="1:27" ht="30" hidden="1" customHeight="1" x14ac:dyDescent="0.2">
      <c r="A19" s="4">
        <v>46217</v>
      </c>
      <c r="B19" s="44" t="str">
        <f t="shared" si="0"/>
        <v>Tuesday</v>
      </c>
      <c r="C19" s="8"/>
      <c r="D19" s="8"/>
      <c r="E19" s="8"/>
      <c r="F19" s="8"/>
      <c r="G19" s="70"/>
      <c r="H19" s="70"/>
      <c r="I19" s="70"/>
      <c r="J19" s="70"/>
      <c r="K19" s="70"/>
      <c r="L19" s="70"/>
      <c r="M19" s="8"/>
      <c r="N19" s="69">
        <v>14</v>
      </c>
      <c r="O19" s="4">
        <v>45859</v>
      </c>
      <c r="P19" s="5" t="str">
        <f t="shared" si="2"/>
        <v>Monday</v>
      </c>
      <c r="Q19" s="8"/>
      <c r="R19" s="8"/>
      <c r="S19" s="8" t="s">
        <v>156</v>
      </c>
      <c r="T19" s="8" t="s">
        <v>157</v>
      </c>
      <c r="U19" s="8" t="s">
        <v>132</v>
      </c>
      <c r="V19" s="8"/>
      <c r="W19" s="8"/>
      <c r="X19" s="8"/>
      <c r="Y19" s="8"/>
      <c r="Z19" s="8"/>
      <c r="AA19" s="8"/>
    </row>
    <row r="20" spans="1:27" ht="30" hidden="1" customHeight="1" x14ac:dyDescent="0.2">
      <c r="A20" s="4">
        <v>46218</v>
      </c>
      <c r="B20" s="44" t="str">
        <f t="shared" si="0"/>
        <v>Wednesday</v>
      </c>
      <c r="C20" s="8"/>
      <c r="D20" s="8"/>
      <c r="E20" s="8"/>
      <c r="F20" s="70"/>
      <c r="G20" s="70"/>
      <c r="H20" s="70"/>
      <c r="I20" s="70"/>
      <c r="J20" s="70"/>
      <c r="K20" s="70"/>
      <c r="L20" s="70"/>
      <c r="M20" s="8"/>
      <c r="N20" s="69">
        <v>15</v>
      </c>
      <c r="O20" s="4">
        <v>45860</v>
      </c>
      <c r="P20" s="5" t="str">
        <f t="shared" si="2"/>
        <v>Tuesday</v>
      </c>
      <c r="Q20" s="8" t="s">
        <v>127</v>
      </c>
      <c r="R20" s="8" t="s">
        <v>159</v>
      </c>
      <c r="S20" s="8" t="s">
        <v>126</v>
      </c>
      <c r="T20" s="8" t="s">
        <v>160</v>
      </c>
      <c r="U20" s="8" t="s">
        <v>132</v>
      </c>
      <c r="V20" s="8"/>
      <c r="W20" s="8"/>
      <c r="X20" s="8"/>
      <c r="Y20" s="8"/>
      <c r="Z20" s="8"/>
      <c r="AA20" s="8"/>
    </row>
    <row r="21" spans="1:27" ht="30" hidden="1" customHeight="1" x14ac:dyDescent="0.2">
      <c r="A21" s="4">
        <v>46219</v>
      </c>
      <c r="B21" s="44" t="str">
        <f t="shared" si="0"/>
        <v>Thursday</v>
      </c>
      <c r="C21" s="8"/>
      <c r="D21" s="8"/>
      <c r="E21" s="8"/>
      <c r="F21" s="8"/>
      <c r="G21" s="70"/>
      <c r="H21" s="70"/>
      <c r="I21" s="70"/>
      <c r="J21" s="70"/>
      <c r="K21" s="70"/>
      <c r="L21" s="70"/>
      <c r="M21" s="8"/>
      <c r="N21" s="69">
        <v>16</v>
      </c>
      <c r="O21" s="4">
        <v>45861</v>
      </c>
      <c r="P21" s="5" t="str">
        <f t="shared" si="2"/>
        <v>Wednesday</v>
      </c>
      <c r="Q21" s="8"/>
      <c r="R21" s="8"/>
      <c r="S21" s="8" t="s">
        <v>156</v>
      </c>
      <c r="T21" s="8" t="s">
        <v>157</v>
      </c>
      <c r="U21" s="8" t="s">
        <v>132</v>
      </c>
      <c r="V21" s="8"/>
      <c r="W21" s="8"/>
      <c r="X21" s="8"/>
      <c r="Y21" s="8"/>
      <c r="Z21" s="8"/>
      <c r="AA21" s="8"/>
    </row>
    <row r="22" spans="1:27" ht="30" hidden="1" customHeight="1" x14ac:dyDescent="0.2">
      <c r="A22" s="4">
        <v>46220</v>
      </c>
      <c r="B22" s="44" t="str">
        <f t="shared" si="0"/>
        <v>Friday</v>
      </c>
      <c r="C22" s="8"/>
      <c r="D22" s="8"/>
      <c r="E22" s="8"/>
      <c r="F22" s="70"/>
      <c r="G22" s="70"/>
      <c r="H22" s="8"/>
      <c r="I22" s="8"/>
      <c r="J22" s="8"/>
      <c r="K22" s="8"/>
      <c r="L22" s="8"/>
      <c r="M22" s="8"/>
      <c r="N22" s="69">
        <v>17</v>
      </c>
      <c r="O22" s="4">
        <v>45862</v>
      </c>
      <c r="P22" s="5" t="str">
        <f t="shared" si="2"/>
        <v>Thursday</v>
      </c>
      <c r="Q22" s="8" t="s">
        <v>127</v>
      </c>
      <c r="R22" s="8" t="s">
        <v>159</v>
      </c>
      <c r="S22" s="8" t="s">
        <v>126</v>
      </c>
      <c r="T22" s="8" t="s">
        <v>160</v>
      </c>
      <c r="U22" s="8" t="s">
        <v>132</v>
      </c>
      <c r="V22" s="8" t="s">
        <v>131</v>
      </c>
      <c r="W22" s="8" t="s">
        <v>130</v>
      </c>
      <c r="X22" s="8"/>
      <c r="Y22" s="8"/>
      <c r="Z22" s="8"/>
      <c r="AA22" s="8"/>
    </row>
    <row r="23" spans="1:27" ht="30" hidden="1" customHeight="1" x14ac:dyDescent="0.2">
      <c r="A23" s="4">
        <v>46221</v>
      </c>
      <c r="B23" s="44" t="str">
        <f t="shared" si="0"/>
        <v>Saturday</v>
      </c>
      <c r="C23" s="8"/>
      <c r="D23" s="8"/>
      <c r="E23" s="8"/>
      <c r="F23" s="8"/>
      <c r="G23" s="70"/>
      <c r="H23" s="8"/>
      <c r="I23" s="70"/>
      <c r="J23" s="8"/>
      <c r="K23" s="8"/>
      <c r="L23" s="8"/>
      <c r="M23" s="8"/>
      <c r="N23" s="69">
        <v>18</v>
      </c>
      <c r="O23" s="4">
        <v>45863</v>
      </c>
      <c r="P23" s="5" t="str">
        <f t="shared" si="2"/>
        <v>Friday</v>
      </c>
      <c r="Q23" s="8"/>
      <c r="R23" s="8"/>
      <c r="S23" s="8" t="s">
        <v>156</v>
      </c>
      <c r="T23" s="8" t="s">
        <v>157</v>
      </c>
      <c r="U23" s="8" t="s">
        <v>132</v>
      </c>
      <c r="V23" s="8" t="s">
        <v>158</v>
      </c>
      <c r="W23" s="3"/>
      <c r="X23" s="3"/>
      <c r="Y23" s="3"/>
      <c r="Z23" s="3"/>
      <c r="AA23" s="3"/>
    </row>
    <row r="24" spans="1:27" ht="30" hidden="1" customHeight="1" x14ac:dyDescent="0.2">
      <c r="A24" s="4">
        <v>46222</v>
      </c>
      <c r="B24" s="44" t="str">
        <f t="shared" si="0"/>
        <v>Sunday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O24" s="4">
        <v>45864</v>
      </c>
      <c r="P24" s="5" t="str">
        <f t="shared" si="2"/>
        <v>Saturday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30" hidden="1" customHeight="1" x14ac:dyDescent="0.2">
      <c r="A25" s="4">
        <v>46223</v>
      </c>
      <c r="B25" s="44" t="str">
        <f t="shared" si="0"/>
        <v>Monday</v>
      </c>
      <c r="C25" s="8"/>
      <c r="D25" s="8"/>
      <c r="E25" s="8"/>
      <c r="F25" s="8"/>
      <c r="G25" s="70"/>
      <c r="H25" s="73" t="s">
        <v>38</v>
      </c>
      <c r="I25" s="74"/>
      <c r="J25" s="74"/>
      <c r="K25" s="74"/>
      <c r="L25" s="74"/>
      <c r="M25" s="75"/>
      <c r="N25" s="69">
        <v>19</v>
      </c>
      <c r="O25" s="4">
        <v>45865</v>
      </c>
      <c r="P25" s="5" t="str">
        <f t="shared" si="2"/>
        <v>Sunday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30" hidden="1" customHeight="1" x14ac:dyDescent="0.2">
      <c r="A26" s="4">
        <v>46224</v>
      </c>
      <c r="B26" s="44" t="str">
        <f t="shared" si="0"/>
        <v>Tuesday</v>
      </c>
      <c r="C26" s="8"/>
      <c r="D26" s="8"/>
      <c r="E26" s="8"/>
      <c r="F26" s="8"/>
      <c r="G26" s="70"/>
      <c r="H26" s="76"/>
      <c r="I26" s="77"/>
      <c r="J26" s="77"/>
      <c r="K26" s="77"/>
      <c r="L26" s="77"/>
      <c r="M26" s="78"/>
      <c r="N26" s="69">
        <v>20</v>
      </c>
      <c r="O26" s="4">
        <v>45866</v>
      </c>
      <c r="P26" s="5" t="str">
        <f t="shared" si="2"/>
        <v>Monday</v>
      </c>
      <c r="Q26" s="8"/>
      <c r="R26" s="8"/>
      <c r="S26" s="8" t="s">
        <v>156</v>
      </c>
      <c r="T26" s="8" t="s">
        <v>157</v>
      </c>
      <c r="U26" s="8" t="s">
        <v>132</v>
      </c>
      <c r="V26" s="8" t="s">
        <v>158</v>
      </c>
      <c r="W26" s="8"/>
      <c r="X26" s="8"/>
      <c r="Y26" s="8"/>
      <c r="Z26" s="8"/>
      <c r="AA26" s="8"/>
    </row>
    <row r="27" spans="1:27" ht="30" hidden="1" customHeight="1" x14ac:dyDescent="0.2">
      <c r="A27" s="4">
        <v>46225</v>
      </c>
      <c r="B27" s="44" t="str">
        <f t="shared" si="0"/>
        <v>Wednesday</v>
      </c>
      <c r="C27" s="8"/>
      <c r="D27" s="8"/>
      <c r="E27" s="8"/>
      <c r="F27" s="70"/>
      <c r="G27" s="70"/>
      <c r="H27" s="76"/>
      <c r="I27" s="77"/>
      <c r="J27" s="77"/>
      <c r="K27" s="77"/>
      <c r="L27" s="77"/>
      <c r="M27" s="78"/>
      <c r="N27" s="69">
        <v>21</v>
      </c>
      <c r="O27" s="4">
        <v>45867</v>
      </c>
      <c r="P27" s="5" t="str">
        <f t="shared" si="2"/>
        <v>Tuesday</v>
      </c>
      <c r="Q27" s="8" t="s">
        <v>127</v>
      </c>
      <c r="R27" s="8" t="s">
        <v>159</v>
      </c>
      <c r="S27" s="8" t="s">
        <v>126</v>
      </c>
      <c r="T27" s="8" t="s">
        <v>160</v>
      </c>
      <c r="U27" s="8" t="s">
        <v>132</v>
      </c>
      <c r="V27" s="8" t="s">
        <v>131</v>
      </c>
      <c r="W27" s="8" t="s">
        <v>130</v>
      </c>
      <c r="X27" s="8"/>
      <c r="Y27" s="8"/>
      <c r="Z27" s="8"/>
      <c r="AA27" s="8"/>
    </row>
    <row r="28" spans="1:27" ht="30" hidden="1" customHeight="1" x14ac:dyDescent="0.2">
      <c r="A28" s="4">
        <v>46226</v>
      </c>
      <c r="B28" s="44" t="str">
        <f t="shared" si="0"/>
        <v>Thursday</v>
      </c>
      <c r="C28" s="8"/>
      <c r="D28" s="8"/>
      <c r="E28" s="8"/>
      <c r="F28" s="8"/>
      <c r="G28" s="70"/>
      <c r="H28" s="76"/>
      <c r="I28" s="77"/>
      <c r="J28" s="77"/>
      <c r="K28" s="77"/>
      <c r="L28" s="77"/>
      <c r="M28" s="78"/>
      <c r="N28" s="69">
        <v>22</v>
      </c>
      <c r="O28" s="4">
        <v>45868</v>
      </c>
      <c r="P28" s="5" t="str">
        <f t="shared" si="2"/>
        <v>Wednesday</v>
      </c>
      <c r="Q28" s="8"/>
      <c r="R28" s="8"/>
      <c r="S28" s="8" t="s">
        <v>156</v>
      </c>
      <c r="T28" s="8" t="s">
        <v>157</v>
      </c>
      <c r="U28" s="8" t="s">
        <v>132</v>
      </c>
      <c r="V28" s="8" t="s">
        <v>158</v>
      </c>
      <c r="W28" s="8"/>
      <c r="X28" s="8"/>
      <c r="Y28" s="8"/>
      <c r="Z28" s="8"/>
      <c r="AA28" s="8"/>
    </row>
    <row r="29" spans="1:27" ht="30" hidden="1" customHeight="1" x14ac:dyDescent="0.2">
      <c r="A29" s="4">
        <v>46227</v>
      </c>
      <c r="B29" s="44" t="str">
        <f t="shared" si="0"/>
        <v>Friday</v>
      </c>
      <c r="C29" s="8"/>
      <c r="D29" s="8"/>
      <c r="E29" s="8"/>
      <c r="F29" s="70"/>
      <c r="G29" s="70"/>
      <c r="H29" s="79"/>
      <c r="I29" s="80"/>
      <c r="J29" s="80"/>
      <c r="K29" s="80"/>
      <c r="L29" s="80"/>
      <c r="M29" s="81"/>
      <c r="N29" s="69">
        <v>23</v>
      </c>
      <c r="O29" s="4">
        <v>45869</v>
      </c>
      <c r="P29" s="5" t="str">
        <f t="shared" si="2"/>
        <v>Thursday</v>
      </c>
      <c r="Q29" s="8" t="s">
        <v>127</v>
      </c>
      <c r="R29" s="8" t="s">
        <v>159</v>
      </c>
      <c r="S29" s="8" t="s">
        <v>126</v>
      </c>
      <c r="T29" s="8" t="s">
        <v>160</v>
      </c>
      <c r="U29" s="8" t="s">
        <v>132</v>
      </c>
      <c r="V29" s="8" t="s">
        <v>131</v>
      </c>
      <c r="W29" s="8" t="s">
        <v>130</v>
      </c>
      <c r="X29" s="8"/>
      <c r="Y29" s="8"/>
      <c r="Z29" s="8"/>
      <c r="AA29" s="8"/>
    </row>
    <row r="30" spans="1:27" ht="30" hidden="1" customHeight="1" x14ac:dyDescent="0.2">
      <c r="A30" s="4">
        <v>46228</v>
      </c>
      <c r="B30" s="44" t="str">
        <f t="shared" si="0"/>
        <v>Saturday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40"/>
      <c r="O30" s="4">
        <v>45870</v>
      </c>
      <c r="P30" s="5" t="str">
        <f t="shared" si="2"/>
        <v>Friday</v>
      </c>
      <c r="Q30" s="8"/>
      <c r="R30" s="8"/>
      <c r="S30" s="8" t="s">
        <v>156</v>
      </c>
      <c r="T30" s="8" t="s">
        <v>157</v>
      </c>
      <c r="U30" s="8" t="s">
        <v>132</v>
      </c>
      <c r="V30" s="8" t="s">
        <v>158</v>
      </c>
      <c r="W30" s="8"/>
      <c r="X30" s="8"/>
      <c r="Y30" s="8"/>
      <c r="Z30" s="8"/>
      <c r="AA30" s="8"/>
    </row>
    <row r="31" spans="1:27" ht="30" hidden="1" customHeight="1" x14ac:dyDescent="0.2">
      <c r="A31" s="4">
        <v>46229</v>
      </c>
      <c r="B31" s="44" t="str">
        <f t="shared" si="0"/>
        <v>Sunday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O31" s="4">
        <v>45871</v>
      </c>
      <c r="P31" s="5" t="str">
        <f t="shared" si="2"/>
        <v>Saturday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30" hidden="1" customHeight="1" x14ac:dyDescent="0.2">
      <c r="A32" s="4">
        <v>46230</v>
      </c>
      <c r="B32" s="44" t="str">
        <f t="shared" si="0"/>
        <v>Monday</v>
      </c>
      <c r="C32" s="8"/>
      <c r="D32" s="8"/>
      <c r="E32" s="8"/>
      <c r="F32" s="8"/>
      <c r="G32" s="70"/>
      <c r="H32" s="8"/>
      <c r="I32" s="70"/>
      <c r="J32" s="8"/>
      <c r="K32" s="8"/>
      <c r="L32" s="8"/>
      <c r="M32" s="8"/>
      <c r="N32" s="69">
        <v>24</v>
      </c>
      <c r="O32" s="4">
        <v>45872</v>
      </c>
      <c r="P32" s="5" t="str">
        <f t="shared" si="2"/>
        <v>Sunday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30" hidden="1" customHeight="1" x14ac:dyDescent="0.2">
      <c r="A33" s="4">
        <v>46231</v>
      </c>
      <c r="B33" s="44" t="str">
        <f t="shared" si="0"/>
        <v>Tuesday</v>
      </c>
      <c r="C33" s="8"/>
      <c r="D33" s="8"/>
      <c r="E33" s="8"/>
      <c r="F33" s="8"/>
      <c r="G33" s="70"/>
      <c r="H33" s="8"/>
      <c r="I33" s="70"/>
      <c r="J33" s="8"/>
      <c r="K33" s="8"/>
      <c r="L33" s="8"/>
      <c r="M33" s="8"/>
      <c r="N33" s="69">
        <v>25</v>
      </c>
      <c r="O33" s="4">
        <v>45873</v>
      </c>
      <c r="P33" s="5" t="str">
        <f t="shared" si="2"/>
        <v>Monday</v>
      </c>
      <c r="Q33" s="8"/>
      <c r="R33" s="8"/>
      <c r="S33" s="8" t="s">
        <v>156</v>
      </c>
      <c r="T33" s="8" t="s">
        <v>157</v>
      </c>
      <c r="U33" s="8" t="s">
        <v>132</v>
      </c>
      <c r="V33" s="8" t="s">
        <v>158</v>
      </c>
      <c r="W33" s="8"/>
      <c r="X33" s="8"/>
      <c r="Y33" s="8"/>
      <c r="Z33" s="8"/>
      <c r="AA33" s="8"/>
    </row>
    <row r="34" spans="1:27" ht="30" hidden="1" customHeight="1" x14ac:dyDescent="0.2">
      <c r="A34" s="4">
        <v>46232</v>
      </c>
      <c r="B34" s="44" t="str">
        <f t="shared" si="0"/>
        <v>Wednesday</v>
      </c>
      <c r="C34" s="8"/>
      <c r="D34" s="8"/>
      <c r="E34" s="8"/>
      <c r="F34" s="70"/>
      <c r="G34" s="70"/>
      <c r="H34" s="8"/>
      <c r="I34" s="8"/>
      <c r="J34" s="8"/>
      <c r="K34" s="8"/>
      <c r="L34" s="8"/>
      <c r="M34" s="8"/>
      <c r="N34" s="69">
        <v>26</v>
      </c>
      <c r="O34" s="4">
        <v>45874</v>
      </c>
      <c r="P34" s="5" t="str">
        <f t="shared" si="2"/>
        <v>Tuesday</v>
      </c>
      <c r="Q34" s="8" t="s">
        <v>127</v>
      </c>
      <c r="R34" s="8" t="s">
        <v>159</v>
      </c>
      <c r="S34" s="8" t="s">
        <v>126</v>
      </c>
      <c r="T34" s="8" t="s">
        <v>160</v>
      </c>
      <c r="U34" s="8" t="s">
        <v>132</v>
      </c>
      <c r="V34" s="8" t="s">
        <v>131</v>
      </c>
      <c r="W34" s="8" t="s">
        <v>130</v>
      </c>
      <c r="X34" s="8"/>
      <c r="Y34" s="8"/>
      <c r="Z34" s="8"/>
      <c r="AA34" s="8"/>
    </row>
    <row r="35" spans="1:27" ht="30" hidden="1" customHeight="1" x14ac:dyDescent="0.2">
      <c r="A35" s="4">
        <v>46233</v>
      </c>
      <c r="B35" s="44" t="str">
        <f t="shared" si="0"/>
        <v>Thursday</v>
      </c>
      <c r="C35" s="8"/>
      <c r="D35" s="8"/>
      <c r="E35" s="8"/>
      <c r="F35" s="8"/>
      <c r="G35" s="70"/>
      <c r="H35" s="8"/>
      <c r="I35" s="70"/>
      <c r="J35" s="8"/>
      <c r="K35" s="8"/>
      <c r="L35" s="8"/>
      <c r="M35" s="8"/>
      <c r="N35" s="69">
        <v>27</v>
      </c>
      <c r="O35" s="4">
        <v>45875</v>
      </c>
      <c r="P35" s="5" t="str">
        <f t="shared" si="2"/>
        <v>Wednesday</v>
      </c>
      <c r="Q35" s="8"/>
      <c r="R35" s="8"/>
      <c r="S35" s="8" t="s">
        <v>156</v>
      </c>
      <c r="T35" s="8" t="s">
        <v>157</v>
      </c>
      <c r="U35" s="8" t="s">
        <v>132</v>
      </c>
      <c r="V35" s="8" t="s">
        <v>158</v>
      </c>
      <c r="W35" s="8"/>
      <c r="X35" s="8"/>
      <c r="Y35" s="8"/>
      <c r="Z35" s="8"/>
      <c r="AA35" s="8"/>
    </row>
    <row r="36" spans="1:27" ht="30" hidden="1" customHeight="1" x14ac:dyDescent="0.2">
      <c r="A36" s="4">
        <v>46234</v>
      </c>
      <c r="B36" s="44" t="str">
        <f t="shared" si="0"/>
        <v>Friday</v>
      </c>
      <c r="C36" s="8"/>
      <c r="D36" s="8"/>
      <c r="E36" s="8"/>
      <c r="F36" s="70"/>
      <c r="G36" s="70"/>
      <c r="H36" s="8"/>
      <c r="I36" s="8"/>
      <c r="J36" s="8"/>
      <c r="K36" s="8"/>
      <c r="L36" s="8"/>
      <c r="M36" s="8"/>
      <c r="N36" s="69">
        <v>28</v>
      </c>
      <c r="O36" s="4">
        <v>45876</v>
      </c>
      <c r="P36" s="5" t="str">
        <f t="shared" si="2"/>
        <v>Thursday</v>
      </c>
      <c r="Q36" s="8" t="s">
        <v>127</v>
      </c>
      <c r="R36" s="8" t="s">
        <v>159</v>
      </c>
      <c r="S36" s="8" t="s">
        <v>126</v>
      </c>
      <c r="T36" s="8" t="s">
        <v>160</v>
      </c>
      <c r="U36" s="8" t="s">
        <v>132</v>
      </c>
      <c r="V36" s="8" t="s">
        <v>131</v>
      </c>
      <c r="W36" s="8" t="s">
        <v>130</v>
      </c>
      <c r="X36" s="8"/>
      <c r="Y36" s="8"/>
      <c r="Z36" s="8"/>
      <c r="AA36" s="8"/>
    </row>
    <row r="37" spans="1:27" ht="30" hidden="1" customHeight="1" x14ac:dyDescent="0.2">
      <c r="A37" s="4">
        <v>46235</v>
      </c>
      <c r="B37" s="44" t="str">
        <f t="shared" si="0"/>
        <v>Saturday</v>
      </c>
      <c r="C37" s="8"/>
      <c r="D37" s="8"/>
      <c r="E37" s="8"/>
      <c r="F37" s="8"/>
      <c r="G37" s="70"/>
      <c r="H37" s="8"/>
      <c r="I37" s="70"/>
      <c r="J37" s="8"/>
      <c r="K37" s="8"/>
      <c r="L37" s="8"/>
      <c r="M37" s="8"/>
      <c r="N37" s="69">
        <v>29</v>
      </c>
      <c r="O37" s="4">
        <v>45877</v>
      </c>
      <c r="P37" s="5" t="str">
        <f t="shared" si="2"/>
        <v>Friday</v>
      </c>
      <c r="Q37" s="8"/>
      <c r="R37" s="8"/>
      <c r="S37" s="8" t="s">
        <v>156</v>
      </c>
      <c r="T37" s="8" t="s">
        <v>157</v>
      </c>
      <c r="U37" s="8" t="s">
        <v>132</v>
      </c>
      <c r="V37" s="8" t="s">
        <v>158</v>
      </c>
      <c r="W37" s="8"/>
      <c r="X37" s="8"/>
      <c r="Y37" s="8"/>
      <c r="Z37" s="8"/>
      <c r="AA37" s="8"/>
    </row>
    <row r="38" spans="1:27" ht="30" hidden="1" customHeight="1" x14ac:dyDescent="0.2">
      <c r="A38" s="4">
        <v>46236</v>
      </c>
      <c r="B38" s="44" t="str">
        <f t="shared" si="0"/>
        <v>Sunday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O38" s="4">
        <v>45878</v>
      </c>
      <c r="P38" s="5" t="str">
        <f t="shared" si="2"/>
        <v>Saturday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30" hidden="1" customHeight="1" x14ac:dyDescent="0.2">
      <c r="A39" s="4">
        <v>46237</v>
      </c>
      <c r="B39" s="44" t="str">
        <f t="shared" si="0"/>
        <v>Monday</v>
      </c>
      <c r="C39" s="8"/>
      <c r="D39" s="8"/>
      <c r="E39" s="8"/>
      <c r="F39" s="8"/>
      <c r="G39" s="70"/>
      <c r="H39" s="8"/>
      <c r="I39" s="70"/>
      <c r="J39" s="8"/>
      <c r="K39" s="8"/>
      <c r="L39" s="8"/>
      <c r="M39" s="8"/>
      <c r="N39" s="69">
        <v>30</v>
      </c>
      <c r="O39" s="4">
        <v>45879</v>
      </c>
      <c r="P39" s="5" t="str">
        <f t="shared" si="2"/>
        <v>Sunday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30" hidden="1" customHeight="1" x14ac:dyDescent="0.2">
      <c r="A40" s="4">
        <v>46238</v>
      </c>
      <c r="B40" s="44" t="str">
        <f t="shared" si="0"/>
        <v>Tuesday</v>
      </c>
      <c r="C40" s="8"/>
      <c r="D40" s="8"/>
      <c r="E40" s="8"/>
      <c r="F40" s="8"/>
      <c r="G40" s="70"/>
      <c r="H40" s="8"/>
      <c r="I40" s="70"/>
      <c r="J40" s="8"/>
      <c r="K40" s="8"/>
      <c r="L40" s="8"/>
      <c r="M40" s="8"/>
      <c r="N40" s="69">
        <v>31</v>
      </c>
      <c r="O40" s="4">
        <v>45880</v>
      </c>
      <c r="P40" s="5" t="str">
        <f t="shared" si="2"/>
        <v>Monday</v>
      </c>
      <c r="Q40" s="8"/>
      <c r="R40" s="8"/>
      <c r="S40" s="8" t="s">
        <v>156</v>
      </c>
      <c r="T40" s="8" t="s">
        <v>157</v>
      </c>
      <c r="U40" s="8" t="s">
        <v>132</v>
      </c>
      <c r="V40" s="8" t="s">
        <v>158</v>
      </c>
      <c r="W40" s="8"/>
      <c r="X40" s="8"/>
      <c r="Y40" s="8"/>
      <c r="Z40" s="8"/>
      <c r="AA40" s="8"/>
    </row>
    <row r="41" spans="1:27" ht="30" hidden="1" customHeight="1" x14ac:dyDescent="0.2">
      <c r="A41" s="4">
        <v>46239</v>
      </c>
      <c r="B41" s="44" t="str">
        <f t="shared" si="0"/>
        <v>Wednesday</v>
      </c>
      <c r="C41" s="8"/>
      <c r="D41" s="8"/>
      <c r="E41" s="8"/>
      <c r="F41" s="70"/>
      <c r="G41" s="70"/>
      <c r="H41" s="8"/>
      <c r="I41" s="8"/>
      <c r="J41" s="8"/>
      <c r="K41" s="8"/>
      <c r="L41" s="8"/>
      <c r="M41" s="8"/>
      <c r="N41" s="69">
        <v>32</v>
      </c>
      <c r="O41" s="4">
        <v>45881</v>
      </c>
      <c r="P41" s="5" t="str">
        <f t="shared" si="2"/>
        <v>Tuesday</v>
      </c>
      <c r="Q41" s="8" t="s">
        <v>127</v>
      </c>
      <c r="R41" s="8" t="s">
        <v>159</v>
      </c>
      <c r="S41" s="8" t="s">
        <v>126</v>
      </c>
      <c r="T41" s="8" t="s">
        <v>160</v>
      </c>
      <c r="U41" s="8" t="s">
        <v>132</v>
      </c>
      <c r="V41" s="8" t="s">
        <v>131</v>
      </c>
      <c r="W41" s="8" t="s">
        <v>130</v>
      </c>
      <c r="X41" s="8"/>
      <c r="Y41" s="8"/>
      <c r="Z41" s="8"/>
      <c r="AA41" s="8"/>
    </row>
    <row r="42" spans="1:27" ht="30" hidden="1" customHeight="1" x14ac:dyDescent="0.2">
      <c r="A42" s="4">
        <v>46240</v>
      </c>
      <c r="B42" s="44" t="str">
        <f t="shared" si="0"/>
        <v>Thursday</v>
      </c>
      <c r="C42" s="8"/>
      <c r="D42" s="8"/>
      <c r="E42" s="8"/>
      <c r="F42" s="8"/>
      <c r="G42" s="70"/>
      <c r="H42" s="8"/>
      <c r="I42" s="70"/>
      <c r="J42" s="8"/>
      <c r="K42" s="8"/>
      <c r="L42" s="8"/>
      <c r="M42" s="8"/>
      <c r="N42" s="69">
        <v>33</v>
      </c>
      <c r="O42" s="4">
        <v>45882</v>
      </c>
      <c r="P42" s="5" t="str">
        <f t="shared" si="2"/>
        <v>Wednesday</v>
      </c>
      <c r="Q42" s="8"/>
      <c r="R42" s="8"/>
      <c r="S42" s="8" t="s">
        <v>156</v>
      </c>
      <c r="T42" s="8" t="s">
        <v>157</v>
      </c>
      <c r="U42" s="8" t="s">
        <v>132</v>
      </c>
      <c r="V42" s="8" t="s">
        <v>158</v>
      </c>
      <c r="W42" s="8"/>
      <c r="X42" s="8"/>
      <c r="Y42" s="8"/>
      <c r="Z42" s="8"/>
      <c r="AA42" s="8"/>
    </row>
    <row r="43" spans="1:27" ht="30" hidden="1" customHeight="1" x14ac:dyDescent="0.2">
      <c r="A43" s="4">
        <v>46241</v>
      </c>
      <c r="B43" s="44" t="str">
        <f t="shared" si="0"/>
        <v>Friday</v>
      </c>
      <c r="C43" s="8"/>
      <c r="D43" s="8"/>
      <c r="E43" s="8"/>
      <c r="F43" s="70"/>
      <c r="G43" s="70"/>
      <c r="H43" s="8"/>
      <c r="I43" s="8"/>
      <c r="J43" s="8"/>
      <c r="K43" s="8"/>
      <c r="L43" s="8"/>
      <c r="M43" s="8"/>
      <c r="N43" s="69">
        <v>34</v>
      </c>
      <c r="O43" s="4">
        <v>45883</v>
      </c>
      <c r="P43" s="5" t="str">
        <f t="shared" si="2"/>
        <v>Thursday</v>
      </c>
      <c r="Q43" s="8" t="s">
        <v>127</v>
      </c>
      <c r="R43" s="8" t="s">
        <v>159</v>
      </c>
      <c r="S43" s="8" t="s">
        <v>126</v>
      </c>
      <c r="T43" s="8" t="s">
        <v>160</v>
      </c>
      <c r="U43" s="8" t="s">
        <v>132</v>
      </c>
      <c r="V43" s="8" t="s">
        <v>131</v>
      </c>
      <c r="W43" s="8" t="s">
        <v>130</v>
      </c>
      <c r="X43" s="8"/>
      <c r="Y43" s="8"/>
      <c r="Z43" s="8"/>
      <c r="AA43" s="8"/>
    </row>
    <row r="44" spans="1:27" ht="30" hidden="1" customHeight="1" x14ac:dyDescent="0.2">
      <c r="A44" s="4">
        <v>46242</v>
      </c>
      <c r="B44" s="44" t="str">
        <f t="shared" si="0"/>
        <v>Saturday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O44" s="4">
        <v>45884</v>
      </c>
      <c r="P44" s="5" t="str">
        <f t="shared" si="2"/>
        <v>Friday</v>
      </c>
      <c r="Q44" s="8"/>
      <c r="R44" s="8"/>
      <c r="S44" s="8" t="s">
        <v>156</v>
      </c>
      <c r="T44" s="8" t="s">
        <v>157</v>
      </c>
      <c r="U44" s="8" t="s">
        <v>132</v>
      </c>
      <c r="V44" s="8" t="s">
        <v>158</v>
      </c>
      <c r="W44" s="8"/>
      <c r="X44" s="8"/>
      <c r="Y44" s="8"/>
      <c r="Z44" s="8"/>
      <c r="AA44" s="8"/>
    </row>
    <row r="45" spans="1:27" ht="30" hidden="1" customHeight="1" x14ac:dyDescent="0.2">
      <c r="A45" s="4">
        <v>46243</v>
      </c>
      <c r="B45" s="65" t="str">
        <f t="shared" si="0"/>
        <v>Sunday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O45" s="4">
        <v>45885</v>
      </c>
      <c r="P45" s="5" t="str">
        <f t="shared" si="2"/>
        <v>Saturday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30" hidden="1" customHeight="1" x14ac:dyDescent="0.2">
      <c r="A46" s="4">
        <v>46244</v>
      </c>
      <c r="B46" s="44" t="str">
        <f t="shared" si="0"/>
        <v>Monday</v>
      </c>
      <c r="C46" s="8"/>
      <c r="D46" s="8"/>
      <c r="E46" s="8"/>
      <c r="F46" s="70"/>
      <c r="G46" s="70"/>
      <c r="H46" s="8"/>
      <c r="I46" s="8"/>
      <c r="J46" s="8"/>
      <c r="K46" s="8"/>
      <c r="L46" s="8"/>
      <c r="M46" s="8"/>
      <c r="N46" s="69">
        <v>35</v>
      </c>
      <c r="O46" s="4">
        <v>45886</v>
      </c>
      <c r="P46" s="5" t="str">
        <f t="shared" si="2"/>
        <v>Sunday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30" hidden="1" customHeight="1" x14ac:dyDescent="0.2">
      <c r="A47" s="4">
        <v>46245</v>
      </c>
      <c r="B47" s="44" t="str">
        <f t="shared" si="0"/>
        <v>Tuesday</v>
      </c>
      <c r="C47" s="8"/>
      <c r="D47" s="8"/>
      <c r="E47" s="8"/>
      <c r="F47" s="8"/>
      <c r="G47" s="70"/>
      <c r="H47" s="8"/>
      <c r="I47" s="70"/>
      <c r="J47" s="8"/>
      <c r="K47" s="8"/>
      <c r="L47" s="8"/>
      <c r="M47" s="8"/>
      <c r="N47" s="69">
        <v>36</v>
      </c>
      <c r="O47" s="4">
        <v>45887</v>
      </c>
      <c r="P47" s="5" t="str">
        <f t="shared" si="2"/>
        <v>Monday</v>
      </c>
      <c r="Q47" s="8"/>
      <c r="R47" s="8"/>
      <c r="S47" s="8" t="s">
        <v>156</v>
      </c>
      <c r="T47" s="8" t="s">
        <v>157</v>
      </c>
      <c r="U47" s="8" t="s">
        <v>132</v>
      </c>
      <c r="V47" s="8" t="s">
        <v>158</v>
      </c>
      <c r="W47" s="8"/>
      <c r="X47" s="8"/>
      <c r="Y47" s="8"/>
      <c r="Z47" s="8"/>
      <c r="AA47" s="8"/>
    </row>
    <row r="48" spans="1:27" ht="30" hidden="1" customHeight="1" x14ac:dyDescent="0.2">
      <c r="A48" s="4">
        <v>46246</v>
      </c>
      <c r="B48" s="44" t="str">
        <f t="shared" si="0"/>
        <v>Wednesday</v>
      </c>
      <c r="C48" s="8"/>
      <c r="D48" s="8"/>
      <c r="E48" s="8"/>
      <c r="F48" s="70"/>
      <c r="G48" s="70"/>
      <c r="H48" s="8"/>
      <c r="I48" s="8"/>
      <c r="J48" s="8"/>
      <c r="K48" s="8"/>
      <c r="L48" s="8"/>
      <c r="M48" s="8"/>
      <c r="N48" s="69">
        <v>37</v>
      </c>
      <c r="O48" s="4">
        <v>45888</v>
      </c>
      <c r="P48" s="5" t="str">
        <f t="shared" si="2"/>
        <v>Tuesday</v>
      </c>
      <c r="Q48" s="8" t="s">
        <v>127</v>
      </c>
      <c r="R48" s="8" t="s">
        <v>159</v>
      </c>
      <c r="S48" s="8" t="s">
        <v>126</v>
      </c>
      <c r="T48" s="8" t="s">
        <v>160</v>
      </c>
      <c r="U48" s="8" t="s">
        <v>132</v>
      </c>
      <c r="V48" s="8" t="s">
        <v>131</v>
      </c>
      <c r="W48" s="8" t="s">
        <v>130</v>
      </c>
      <c r="X48" s="8"/>
      <c r="Y48" s="8"/>
      <c r="Z48" s="8"/>
      <c r="AA48" s="8"/>
    </row>
    <row r="49" spans="1:27" ht="30" hidden="1" customHeight="1" x14ac:dyDescent="0.2">
      <c r="A49" s="4">
        <v>46247</v>
      </c>
      <c r="B49" s="44" t="str">
        <f t="shared" si="0"/>
        <v>Thursday</v>
      </c>
      <c r="C49" s="8"/>
      <c r="D49" s="8"/>
      <c r="E49" s="8"/>
      <c r="F49" s="8"/>
      <c r="G49" s="70"/>
      <c r="H49" s="8"/>
      <c r="I49" s="70"/>
      <c r="J49" s="8"/>
      <c r="K49" s="8"/>
      <c r="L49" s="8"/>
      <c r="M49" s="8"/>
      <c r="N49" s="69">
        <v>38</v>
      </c>
      <c r="O49" s="4">
        <v>45889</v>
      </c>
      <c r="P49" s="5" t="str">
        <f t="shared" si="2"/>
        <v>Wednesday</v>
      </c>
      <c r="Q49" s="8"/>
      <c r="R49" s="8"/>
      <c r="S49" s="8" t="s">
        <v>156</v>
      </c>
      <c r="T49" s="8" t="s">
        <v>157</v>
      </c>
      <c r="U49" s="8" t="s">
        <v>132</v>
      </c>
      <c r="V49" s="8" t="s">
        <v>158</v>
      </c>
      <c r="W49" s="8"/>
      <c r="X49" s="8"/>
      <c r="Y49" s="8"/>
      <c r="Z49" s="8"/>
      <c r="AA49" s="8"/>
    </row>
    <row r="50" spans="1:27" ht="30" hidden="1" customHeight="1" x14ac:dyDescent="0.2">
      <c r="A50" s="4">
        <v>46248</v>
      </c>
      <c r="B50" s="44" t="str">
        <f t="shared" si="0"/>
        <v>Friday</v>
      </c>
      <c r="C50" s="8"/>
      <c r="D50" s="8"/>
      <c r="E50" s="8"/>
      <c r="F50" s="70"/>
      <c r="G50" s="70"/>
      <c r="H50" s="8"/>
      <c r="I50" s="8"/>
      <c r="J50" s="8"/>
      <c r="K50" s="8"/>
      <c r="L50" s="8"/>
      <c r="M50" s="8"/>
      <c r="N50" s="69">
        <v>39</v>
      </c>
      <c r="O50" s="4">
        <v>45890</v>
      </c>
      <c r="P50" s="5" t="str">
        <f t="shared" si="2"/>
        <v>Thursday</v>
      </c>
      <c r="Q50" s="8" t="s">
        <v>127</v>
      </c>
      <c r="R50" s="8" t="s">
        <v>159</v>
      </c>
      <c r="S50" s="8" t="s">
        <v>126</v>
      </c>
      <c r="T50" s="8" t="s">
        <v>160</v>
      </c>
      <c r="U50" s="8" t="s">
        <v>132</v>
      </c>
      <c r="V50" s="8" t="s">
        <v>131</v>
      </c>
      <c r="W50" s="8" t="s">
        <v>130</v>
      </c>
      <c r="X50" s="8"/>
      <c r="Y50" s="8"/>
      <c r="Z50" s="8"/>
      <c r="AA50" s="8"/>
    </row>
    <row r="51" spans="1:27" ht="30" hidden="1" customHeight="1" x14ac:dyDescent="0.2">
      <c r="A51" s="4">
        <v>46249</v>
      </c>
      <c r="B51" s="44" t="str">
        <f t="shared" si="0"/>
        <v>Saturday</v>
      </c>
      <c r="C51" s="82" t="s">
        <v>229</v>
      </c>
      <c r="D51" s="83"/>
      <c r="E51" s="83"/>
      <c r="F51" s="83"/>
      <c r="G51" s="83"/>
      <c r="H51" s="83"/>
      <c r="I51" s="83"/>
      <c r="J51" s="83"/>
      <c r="K51" s="83"/>
      <c r="L51" s="83"/>
      <c r="M51" s="84"/>
      <c r="O51" s="4">
        <v>45891</v>
      </c>
      <c r="P51" s="5" t="str">
        <f t="shared" si="2"/>
        <v>Friday</v>
      </c>
      <c r="Q51" s="8"/>
      <c r="R51" s="8"/>
      <c r="S51" s="8" t="s">
        <v>156</v>
      </c>
      <c r="T51" s="8" t="s">
        <v>157</v>
      </c>
      <c r="U51" s="8" t="s">
        <v>132</v>
      </c>
      <c r="V51" s="8" t="s">
        <v>158</v>
      </c>
      <c r="W51" s="8"/>
      <c r="X51" s="8"/>
      <c r="Y51" s="8"/>
      <c r="Z51" s="8"/>
      <c r="AA51" s="8"/>
    </row>
    <row r="52" spans="1:27" ht="30" hidden="1" customHeight="1" x14ac:dyDescent="0.2">
      <c r="A52" s="4">
        <v>46250</v>
      </c>
      <c r="B52" s="44" t="str">
        <f t="shared" si="0"/>
        <v>Sunday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O52" s="4">
        <v>45892</v>
      </c>
      <c r="P52" s="5" t="str">
        <f t="shared" si="2"/>
        <v>Saturday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30" hidden="1" customHeight="1" x14ac:dyDescent="0.2">
      <c r="A53" s="4">
        <v>46251</v>
      </c>
      <c r="B53" s="44" t="str">
        <f t="shared" si="0"/>
        <v>Monday</v>
      </c>
      <c r="C53" s="8"/>
      <c r="D53" s="8"/>
      <c r="E53" s="8"/>
      <c r="F53" s="70"/>
      <c r="G53" s="70"/>
      <c r="H53" s="8"/>
      <c r="I53" s="8"/>
      <c r="J53" s="8"/>
      <c r="K53" s="8"/>
      <c r="L53" s="8"/>
      <c r="M53" s="8"/>
      <c r="N53" s="69">
        <v>40</v>
      </c>
      <c r="O53" s="4">
        <v>45893</v>
      </c>
      <c r="P53" s="5" t="str">
        <f t="shared" si="2"/>
        <v>Sunday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30" hidden="1" customHeight="1" x14ac:dyDescent="0.2">
      <c r="A54" s="4">
        <v>46252</v>
      </c>
      <c r="B54" s="44" t="str">
        <f t="shared" si="0"/>
        <v>Tuesday</v>
      </c>
      <c r="C54" s="8"/>
      <c r="D54" s="8"/>
      <c r="E54" s="8"/>
      <c r="F54" s="8"/>
      <c r="G54" s="70"/>
      <c r="H54" s="8"/>
      <c r="I54" s="70"/>
      <c r="J54" s="8"/>
      <c r="K54" s="8"/>
      <c r="L54" s="8"/>
      <c r="M54" s="8"/>
      <c r="N54" s="69">
        <v>41</v>
      </c>
      <c r="O54" s="4">
        <v>45894</v>
      </c>
      <c r="P54" s="5" t="str">
        <f t="shared" si="2"/>
        <v>Monday</v>
      </c>
      <c r="Q54" s="8"/>
      <c r="R54" s="8"/>
      <c r="S54" s="8" t="s">
        <v>156</v>
      </c>
      <c r="T54" s="8" t="s">
        <v>157</v>
      </c>
      <c r="U54" s="8" t="s">
        <v>132</v>
      </c>
      <c r="V54" s="8" t="s">
        <v>158</v>
      </c>
      <c r="W54" s="8"/>
      <c r="X54" s="8"/>
      <c r="Y54" s="8"/>
      <c r="Z54" s="8"/>
      <c r="AA54" s="8"/>
    </row>
    <row r="55" spans="1:27" ht="30" hidden="1" customHeight="1" x14ac:dyDescent="0.2">
      <c r="A55" s="4">
        <v>46253</v>
      </c>
      <c r="B55" s="44" t="str">
        <f t="shared" si="0"/>
        <v>Wednesday</v>
      </c>
      <c r="C55" s="8"/>
      <c r="D55" s="8"/>
      <c r="E55" s="8"/>
      <c r="F55" s="70"/>
      <c r="G55" s="70"/>
      <c r="H55" s="8"/>
      <c r="I55" s="8"/>
      <c r="J55" s="8"/>
      <c r="K55" s="8"/>
      <c r="L55" s="8"/>
      <c r="M55" s="8"/>
      <c r="N55" s="69">
        <v>42</v>
      </c>
      <c r="O55" s="4">
        <v>45895</v>
      </c>
      <c r="P55" s="5" t="str">
        <f t="shared" si="2"/>
        <v>Tuesday</v>
      </c>
      <c r="Q55" s="8" t="s">
        <v>127</v>
      </c>
      <c r="R55" s="8" t="s">
        <v>159</v>
      </c>
      <c r="S55" s="8" t="s">
        <v>126</v>
      </c>
      <c r="T55" s="8" t="s">
        <v>160</v>
      </c>
      <c r="U55" s="8" t="s">
        <v>132</v>
      </c>
      <c r="V55" s="8" t="s">
        <v>131</v>
      </c>
      <c r="W55" s="8" t="s">
        <v>130</v>
      </c>
      <c r="X55" s="8"/>
      <c r="Y55" s="8"/>
      <c r="Z55" s="8"/>
      <c r="AA55" s="8"/>
    </row>
    <row r="56" spans="1:27" ht="30" hidden="1" customHeight="1" x14ac:dyDescent="0.2">
      <c r="A56" s="4">
        <v>46254</v>
      </c>
      <c r="B56" s="44" t="str">
        <f t="shared" si="0"/>
        <v>Thursday</v>
      </c>
      <c r="C56" s="8"/>
      <c r="D56" s="8"/>
      <c r="E56" s="8"/>
      <c r="F56" s="70"/>
      <c r="G56" s="70"/>
      <c r="H56" s="8"/>
      <c r="I56" s="8"/>
      <c r="J56" s="8"/>
      <c r="K56" s="8"/>
      <c r="L56" s="8"/>
      <c r="M56" s="8"/>
      <c r="N56" s="69">
        <v>43</v>
      </c>
      <c r="O56" s="4">
        <v>45896</v>
      </c>
      <c r="P56" s="5" t="str">
        <f t="shared" si="2"/>
        <v>Wednesday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30" hidden="1" customHeight="1" x14ac:dyDescent="0.2">
      <c r="A57" s="4">
        <v>46255</v>
      </c>
      <c r="B57" s="44" t="str">
        <f t="shared" si="0"/>
        <v>Friday</v>
      </c>
      <c r="C57" s="8"/>
      <c r="D57" s="8"/>
      <c r="E57" s="8"/>
      <c r="F57" s="70"/>
      <c r="G57" s="70"/>
      <c r="H57" s="8"/>
      <c r="I57" s="8"/>
      <c r="J57" s="8"/>
      <c r="K57" s="8"/>
      <c r="L57" s="8"/>
      <c r="M57" s="8"/>
      <c r="N57" s="69">
        <v>44</v>
      </c>
      <c r="O57" s="4">
        <v>45897</v>
      </c>
      <c r="P57" s="5" t="str">
        <f t="shared" si="2"/>
        <v>Thursday</v>
      </c>
      <c r="Q57" s="8" t="s">
        <v>127</v>
      </c>
      <c r="R57" s="8" t="s">
        <v>159</v>
      </c>
      <c r="S57" s="8" t="s">
        <v>126</v>
      </c>
      <c r="T57" s="8" t="s">
        <v>160</v>
      </c>
      <c r="U57" s="8" t="s">
        <v>132</v>
      </c>
      <c r="V57" s="8" t="s">
        <v>131</v>
      </c>
      <c r="W57" s="8" t="s">
        <v>130</v>
      </c>
      <c r="X57" s="8"/>
      <c r="Y57" s="8"/>
      <c r="Z57" s="8"/>
      <c r="AA57" s="8"/>
    </row>
    <row r="58" spans="1:27" ht="30" hidden="1" customHeight="1" x14ac:dyDescent="0.2">
      <c r="A58" s="4">
        <v>46256</v>
      </c>
      <c r="B58" s="44" t="str">
        <f t="shared" ref="B58:B95" si="3">TEXT(A58,"DDDDDDDDDDDDDDDDDDDDDDDDDDD")</f>
        <v>Saturday</v>
      </c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O58" s="4">
        <v>45898</v>
      </c>
      <c r="P58" s="5" t="str">
        <f t="shared" ref="P58:P95" si="4">TEXT(O58,"DDDDDDDDDDDDDDDDDDDDDDDDDDD")</f>
        <v>Friday</v>
      </c>
      <c r="Q58" s="8"/>
      <c r="R58" s="8"/>
      <c r="S58" s="8" t="s">
        <v>156</v>
      </c>
      <c r="T58" s="8" t="s">
        <v>157</v>
      </c>
      <c r="U58" s="8" t="s">
        <v>132</v>
      </c>
      <c r="V58" s="8" t="s">
        <v>158</v>
      </c>
      <c r="W58" s="8"/>
      <c r="X58" s="8"/>
      <c r="Y58" s="8"/>
      <c r="Z58" s="8"/>
      <c r="AA58" s="8"/>
    </row>
    <row r="59" spans="1:27" ht="30" hidden="1" customHeight="1" x14ac:dyDescent="0.2">
      <c r="A59" s="4">
        <v>46257</v>
      </c>
      <c r="B59" s="44" t="str">
        <f t="shared" si="3"/>
        <v>Sunday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O59" s="4">
        <v>45899</v>
      </c>
      <c r="P59" s="5" t="str">
        <f t="shared" si="4"/>
        <v>Saturday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30" hidden="1" customHeight="1" x14ac:dyDescent="0.2">
      <c r="A60" s="4">
        <v>46258</v>
      </c>
      <c r="B60" s="44" t="str">
        <f t="shared" si="3"/>
        <v>Monday</v>
      </c>
      <c r="C60" s="8"/>
      <c r="D60" s="8"/>
      <c r="E60" s="8"/>
      <c r="F60" s="70"/>
      <c r="G60" s="70"/>
      <c r="H60" s="8"/>
      <c r="I60" s="8"/>
      <c r="J60" s="8"/>
      <c r="K60" s="8"/>
      <c r="L60" s="8"/>
      <c r="M60" s="8"/>
      <c r="N60" s="69">
        <v>45</v>
      </c>
      <c r="O60" s="4">
        <v>45900</v>
      </c>
      <c r="P60" s="5" t="str">
        <f t="shared" si="4"/>
        <v>Sunday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30" hidden="1" customHeight="1" x14ac:dyDescent="0.2">
      <c r="A61" s="4">
        <v>46259</v>
      </c>
      <c r="B61" s="44" t="str">
        <f t="shared" si="3"/>
        <v>Tuesday</v>
      </c>
      <c r="C61" s="8"/>
      <c r="D61" s="8"/>
      <c r="E61" s="8"/>
      <c r="F61" s="8"/>
      <c r="G61" s="70"/>
      <c r="H61" s="8"/>
      <c r="I61" s="70"/>
      <c r="J61" s="8"/>
      <c r="K61" s="8"/>
      <c r="L61" s="8"/>
      <c r="M61" s="8"/>
      <c r="N61" s="69">
        <v>46</v>
      </c>
      <c r="O61" s="4">
        <v>45901</v>
      </c>
      <c r="P61" s="5" t="str">
        <f t="shared" si="4"/>
        <v>Monday</v>
      </c>
      <c r="Q61" s="8"/>
      <c r="R61" s="8"/>
      <c r="S61" s="8" t="s">
        <v>156</v>
      </c>
      <c r="T61" s="8" t="s">
        <v>157</v>
      </c>
      <c r="U61" s="8" t="s">
        <v>132</v>
      </c>
      <c r="V61" s="8" t="s">
        <v>158</v>
      </c>
      <c r="W61" s="8"/>
      <c r="X61" s="8"/>
      <c r="Y61" s="8"/>
      <c r="Z61" s="8"/>
      <c r="AA61" s="8"/>
    </row>
    <row r="62" spans="1:27" ht="30" hidden="1" customHeight="1" x14ac:dyDescent="0.2">
      <c r="A62" s="4">
        <v>46260</v>
      </c>
      <c r="B62" s="44" t="str">
        <f t="shared" si="3"/>
        <v>Wednesday</v>
      </c>
      <c r="C62" s="8"/>
      <c r="D62" s="8"/>
      <c r="E62" s="8"/>
      <c r="F62" s="70"/>
      <c r="G62" s="70"/>
      <c r="H62" s="8"/>
      <c r="I62" s="8"/>
      <c r="J62" s="8"/>
      <c r="K62" s="8"/>
      <c r="L62" s="8"/>
      <c r="M62" s="8"/>
      <c r="N62" s="69">
        <v>47</v>
      </c>
      <c r="O62" s="4">
        <v>45902</v>
      </c>
      <c r="P62" s="5" t="str">
        <f t="shared" si="4"/>
        <v>Tuesday</v>
      </c>
      <c r="Q62" s="8" t="s">
        <v>127</v>
      </c>
      <c r="R62" s="8" t="s">
        <v>159</v>
      </c>
      <c r="S62" s="8" t="s">
        <v>126</v>
      </c>
      <c r="T62" s="8" t="s">
        <v>160</v>
      </c>
      <c r="U62" s="8" t="s">
        <v>132</v>
      </c>
      <c r="V62" s="8" t="s">
        <v>131</v>
      </c>
      <c r="W62" s="8" t="s">
        <v>130</v>
      </c>
      <c r="X62" s="8"/>
      <c r="Y62" s="8"/>
      <c r="Z62" s="8"/>
      <c r="AA62" s="8"/>
    </row>
    <row r="63" spans="1:27" ht="30" hidden="1" customHeight="1" x14ac:dyDescent="0.2">
      <c r="A63" s="4">
        <v>46261</v>
      </c>
      <c r="B63" s="44" t="str">
        <f t="shared" si="3"/>
        <v>Thursday</v>
      </c>
      <c r="C63" s="8"/>
      <c r="D63" s="8"/>
      <c r="E63" s="8"/>
      <c r="F63" s="8"/>
      <c r="G63" s="70"/>
      <c r="H63" s="8"/>
      <c r="I63" s="70"/>
      <c r="J63" s="8"/>
      <c r="K63" s="8"/>
      <c r="L63" s="8"/>
      <c r="M63" s="8"/>
      <c r="N63" s="69">
        <v>48</v>
      </c>
      <c r="O63" s="4">
        <v>45903</v>
      </c>
      <c r="P63" s="5" t="str">
        <f t="shared" si="4"/>
        <v>Wednesday</v>
      </c>
      <c r="Q63" s="8"/>
      <c r="R63" s="8"/>
      <c r="S63" s="8" t="s">
        <v>156</v>
      </c>
      <c r="T63" s="8" t="s">
        <v>157</v>
      </c>
      <c r="U63" s="8" t="s">
        <v>132</v>
      </c>
      <c r="V63" s="8" t="s">
        <v>158</v>
      </c>
      <c r="W63" s="8"/>
      <c r="X63" s="8"/>
      <c r="Y63" s="8"/>
      <c r="Z63" s="8"/>
      <c r="AA63" s="8"/>
    </row>
    <row r="64" spans="1:27" ht="30" hidden="1" customHeight="1" x14ac:dyDescent="0.2">
      <c r="A64" s="4">
        <v>46262</v>
      </c>
      <c r="B64" s="44" t="str">
        <f t="shared" si="3"/>
        <v>Friday</v>
      </c>
      <c r="C64" s="82" t="s">
        <v>44</v>
      </c>
      <c r="D64" s="83"/>
      <c r="E64" s="83"/>
      <c r="F64" s="83"/>
      <c r="G64" s="83"/>
      <c r="H64" s="83"/>
      <c r="I64" s="83"/>
      <c r="J64" s="83"/>
      <c r="K64" s="83"/>
      <c r="L64" s="83"/>
      <c r="M64" s="84"/>
      <c r="O64" s="4">
        <v>45904</v>
      </c>
      <c r="P64" s="5" t="str">
        <f t="shared" si="4"/>
        <v>Thursday</v>
      </c>
      <c r="Q64" s="8" t="s">
        <v>127</v>
      </c>
      <c r="R64" s="8" t="s">
        <v>159</v>
      </c>
      <c r="S64" s="8" t="s">
        <v>126</v>
      </c>
      <c r="T64" s="8" t="s">
        <v>160</v>
      </c>
      <c r="U64" s="8" t="s">
        <v>132</v>
      </c>
      <c r="V64" s="8" t="s">
        <v>131</v>
      </c>
      <c r="W64" s="8" t="s">
        <v>130</v>
      </c>
      <c r="X64" s="8"/>
      <c r="Y64" s="8"/>
      <c r="Z64" s="8"/>
      <c r="AA64" s="8"/>
    </row>
    <row r="65" spans="1:27" ht="30" hidden="1" customHeight="1" x14ac:dyDescent="0.2">
      <c r="A65" s="4">
        <v>46263</v>
      </c>
      <c r="B65" s="44" t="str">
        <f t="shared" si="3"/>
        <v>Saturday</v>
      </c>
      <c r="C65" s="8"/>
      <c r="D65" s="8"/>
      <c r="E65" s="8"/>
      <c r="F65" s="8"/>
      <c r="G65" s="70"/>
      <c r="H65" s="8"/>
      <c r="I65" s="70"/>
      <c r="J65" s="8"/>
      <c r="K65" s="8"/>
      <c r="L65" s="8"/>
      <c r="M65" s="8"/>
      <c r="N65" s="69">
        <v>49</v>
      </c>
      <c r="O65" s="4">
        <v>45905</v>
      </c>
      <c r="P65" s="5" t="str">
        <f t="shared" si="4"/>
        <v>Friday</v>
      </c>
      <c r="Q65" s="8"/>
      <c r="R65" s="8"/>
      <c r="S65" s="8" t="s">
        <v>156</v>
      </c>
      <c r="T65" s="8" t="s">
        <v>157</v>
      </c>
      <c r="U65" s="8" t="s">
        <v>132</v>
      </c>
      <c r="V65" s="8" t="s">
        <v>158</v>
      </c>
      <c r="W65" s="8"/>
      <c r="X65" s="8"/>
      <c r="Y65" s="8"/>
      <c r="Z65" s="8"/>
      <c r="AA65" s="8"/>
    </row>
    <row r="66" spans="1:27" ht="30" hidden="1" customHeight="1" x14ac:dyDescent="0.2">
      <c r="A66" s="4">
        <v>46264</v>
      </c>
      <c r="B66" s="44" t="str">
        <f t="shared" si="3"/>
        <v>Sunday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O66" s="4">
        <v>45906</v>
      </c>
      <c r="P66" s="5" t="str">
        <f t="shared" si="4"/>
        <v>Saturday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30" hidden="1" customHeight="1" x14ac:dyDescent="0.2">
      <c r="A67" s="4">
        <v>46265</v>
      </c>
      <c r="B67" s="44" t="str">
        <f t="shared" si="3"/>
        <v>Monday</v>
      </c>
      <c r="C67" s="8"/>
      <c r="D67" s="8"/>
      <c r="E67" s="8"/>
      <c r="F67" s="8"/>
      <c r="G67" s="70"/>
      <c r="H67" s="8"/>
      <c r="I67" s="70"/>
      <c r="J67" s="8"/>
      <c r="K67" s="8"/>
      <c r="L67" s="8"/>
      <c r="M67" s="8"/>
      <c r="N67" s="69">
        <v>50</v>
      </c>
      <c r="O67" s="4">
        <v>45907</v>
      </c>
      <c r="P67" s="5" t="str">
        <f t="shared" si="4"/>
        <v>Sunday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30" hidden="1" customHeight="1" x14ac:dyDescent="0.2">
      <c r="A68" s="4">
        <v>46266</v>
      </c>
      <c r="B68" s="44" t="str">
        <f t="shared" si="3"/>
        <v>Tuesday</v>
      </c>
      <c r="C68" s="8"/>
      <c r="D68" s="8"/>
      <c r="E68" s="8"/>
      <c r="F68" s="8"/>
      <c r="G68" s="70"/>
      <c r="H68" s="8"/>
      <c r="I68" s="70"/>
      <c r="J68" s="8"/>
      <c r="K68" s="8"/>
      <c r="L68" s="8"/>
      <c r="M68" s="8"/>
      <c r="N68" s="69">
        <v>51</v>
      </c>
      <c r="O68" s="4">
        <v>45908</v>
      </c>
      <c r="P68" s="5" t="str">
        <f t="shared" si="4"/>
        <v>Monday</v>
      </c>
      <c r="Q68" s="8"/>
      <c r="R68" s="8"/>
      <c r="S68" s="8" t="s">
        <v>156</v>
      </c>
      <c r="T68" s="8" t="s">
        <v>157</v>
      </c>
      <c r="U68" s="8" t="s">
        <v>132</v>
      </c>
      <c r="V68" s="8" t="s">
        <v>158</v>
      </c>
      <c r="W68" s="8"/>
      <c r="X68" s="8"/>
      <c r="Y68" s="8"/>
      <c r="Z68" s="8"/>
      <c r="AA68" s="8"/>
    </row>
    <row r="69" spans="1:27" ht="30" hidden="1" customHeight="1" x14ac:dyDescent="0.2">
      <c r="A69" s="4">
        <v>46267</v>
      </c>
      <c r="B69" s="44" t="str">
        <f t="shared" si="3"/>
        <v>Wednesday</v>
      </c>
      <c r="C69" s="8"/>
      <c r="D69" s="8"/>
      <c r="E69" s="8"/>
      <c r="F69" s="70"/>
      <c r="G69" s="70"/>
      <c r="H69" s="8"/>
      <c r="I69" s="8"/>
      <c r="J69" s="8"/>
      <c r="K69" s="8"/>
      <c r="L69" s="8"/>
      <c r="M69" s="8"/>
      <c r="N69" s="69">
        <v>52</v>
      </c>
      <c r="O69" s="4">
        <v>45909</v>
      </c>
      <c r="P69" s="5" t="str">
        <f t="shared" si="4"/>
        <v>Tuesday</v>
      </c>
      <c r="Q69" s="8" t="s">
        <v>127</v>
      </c>
      <c r="R69" s="8" t="s">
        <v>159</v>
      </c>
      <c r="S69" s="8" t="s">
        <v>126</v>
      </c>
      <c r="T69" s="8" t="s">
        <v>160</v>
      </c>
      <c r="U69" s="8" t="s">
        <v>132</v>
      </c>
      <c r="V69" s="8" t="s">
        <v>131</v>
      </c>
      <c r="W69" s="8" t="s">
        <v>130</v>
      </c>
      <c r="X69" s="8"/>
      <c r="Y69" s="8"/>
      <c r="Z69" s="8"/>
      <c r="AA69" s="8"/>
    </row>
    <row r="70" spans="1:27" ht="30" hidden="1" customHeight="1" x14ac:dyDescent="0.2">
      <c r="A70" s="4">
        <v>46268</v>
      </c>
      <c r="B70" s="44" t="str">
        <f t="shared" si="3"/>
        <v>Thursday</v>
      </c>
      <c r="C70" s="8"/>
      <c r="D70" s="8"/>
      <c r="E70" s="8"/>
      <c r="F70" s="8"/>
      <c r="G70" s="70"/>
      <c r="H70" s="8"/>
      <c r="I70" s="70"/>
      <c r="J70" s="8"/>
      <c r="K70" s="8"/>
      <c r="L70" s="8"/>
      <c r="M70" s="8"/>
      <c r="N70" s="69">
        <v>53</v>
      </c>
      <c r="O70" s="4">
        <v>45910</v>
      </c>
      <c r="P70" s="5" t="str">
        <f t="shared" si="4"/>
        <v>Wednesday</v>
      </c>
      <c r="Q70" s="8"/>
      <c r="R70" s="8"/>
      <c r="S70" s="8" t="s">
        <v>156</v>
      </c>
      <c r="T70" s="8" t="s">
        <v>157</v>
      </c>
      <c r="U70" s="8" t="s">
        <v>132</v>
      </c>
      <c r="V70" s="8" t="s">
        <v>158</v>
      </c>
      <c r="W70" s="8"/>
      <c r="X70" s="8"/>
      <c r="Y70" s="8"/>
      <c r="Z70" s="8"/>
      <c r="AA70" s="8"/>
    </row>
    <row r="71" spans="1:27" ht="30" hidden="1" customHeight="1" x14ac:dyDescent="0.2">
      <c r="A71" s="4">
        <v>46269</v>
      </c>
      <c r="B71" s="44" t="str">
        <f t="shared" si="3"/>
        <v>Friday</v>
      </c>
      <c r="C71" s="82" t="s">
        <v>39</v>
      </c>
      <c r="D71" s="83"/>
      <c r="E71" s="83"/>
      <c r="F71" s="83"/>
      <c r="G71" s="83"/>
      <c r="H71" s="83"/>
      <c r="I71" s="83"/>
      <c r="J71" s="83"/>
      <c r="K71" s="83"/>
      <c r="L71" s="83"/>
      <c r="M71" s="84"/>
      <c r="O71" s="4">
        <v>45911</v>
      </c>
      <c r="P71" s="5" t="str">
        <f t="shared" si="4"/>
        <v>Thursday</v>
      </c>
      <c r="Q71" s="8" t="s">
        <v>127</v>
      </c>
      <c r="R71" s="8" t="s">
        <v>159</v>
      </c>
      <c r="S71" s="8" t="s">
        <v>126</v>
      </c>
      <c r="T71" s="8" t="s">
        <v>160</v>
      </c>
      <c r="U71" s="8" t="s">
        <v>132</v>
      </c>
      <c r="V71" s="8" t="s">
        <v>131</v>
      </c>
      <c r="W71" s="8" t="s">
        <v>130</v>
      </c>
      <c r="X71" s="8"/>
      <c r="Y71" s="8"/>
      <c r="Z71" s="8"/>
      <c r="AA71" s="8"/>
    </row>
    <row r="72" spans="1:27" ht="30" hidden="1" customHeight="1" x14ac:dyDescent="0.2">
      <c r="A72" s="4">
        <v>46270</v>
      </c>
      <c r="B72" s="44" t="str">
        <f t="shared" si="3"/>
        <v>Saturday</v>
      </c>
      <c r="C72" s="8"/>
      <c r="D72" s="8"/>
      <c r="E72" s="8"/>
      <c r="F72" s="8"/>
      <c r="G72" s="70"/>
      <c r="H72" s="8"/>
      <c r="I72" s="70"/>
      <c r="J72" s="8"/>
      <c r="K72" s="8"/>
      <c r="L72" s="8"/>
      <c r="M72" s="8"/>
      <c r="N72" s="69">
        <v>54</v>
      </c>
      <c r="O72" s="4">
        <v>45912</v>
      </c>
      <c r="P72" s="5" t="str">
        <f t="shared" si="4"/>
        <v>Friday</v>
      </c>
      <c r="Q72" s="8"/>
      <c r="R72" s="8"/>
      <c r="S72" s="8" t="s">
        <v>156</v>
      </c>
      <c r="T72" s="8" t="s">
        <v>157</v>
      </c>
      <c r="U72" s="8" t="s">
        <v>132</v>
      </c>
      <c r="V72" s="8" t="s">
        <v>158</v>
      </c>
      <c r="W72" s="8"/>
      <c r="X72" s="8"/>
      <c r="Y72" s="8"/>
      <c r="Z72" s="8"/>
      <c r="AA72" s="8"/>
    </row>
    <row r="73" spans="1:27" ht="30" hidden="1" customHeight="1" x14ac:dyDescent="0.2">
      <c r="A73" s="4">
        <v>46271</v>
      </c>
      <c r="B73" s="44" t="str">
        <f t="shared" si="3"/>
        <v>Sunday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O73" s="4">
        <v>45913</v>
      </c>
      <c r="P73" s="5" t="str">
        <f t="shared" si="4"/>
        <v>Saturday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30" hidden="1" customHeight="1" x14ac:dyDescent="0.2">
      <c r="A74" s="4">
        <v>46272</v>
      </c>
      <c r="B74" s="44" t="str">
        <f t="shared" si="3"/>
        <v>Monday</v>
      </c>
      <c r="C74" s="8"/>
      <c r="D74" s="8"/>
      <c r="E74" s="8"/>
      <c r="F74" s="8"/>
      <c r="G74" s="70"/>
      <c r="H74" s="8"/>
      <c r="I74" s="70"/>
      <c r="J74" s="8"/>
      <c r="K74" s="8"/>
      <c r="L74" s="8"/>
      <c r="M74" s="8"/>
      <c r="N74" s="69">
        <v>55</v>
      </c>
      <c r="O74" s="4">
        <v>45914</v>
      </c>
      <c r="P74" s="5" t="str">
        <f t="shared" si="4"/>
        <v>Sunday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30" hidden="1" customHeight="1" x14ac:dyDescent="0.2">
      <c r="A75" s="4">
        <v>46273</v>
      </c>
      <c r="B75" s="44" t="str">
        <f t="shared" si="3"/>
        <v>Tuesday</v>
      </c>
      <c r="C75" s="8"/>
      <c r="D75" s="8"/>
      <c r="E75" s="8"/>
      <c r="F75" s="8"/>
      <c r="G75" s="70"/>
      <c r="H75" s="8"/>
      <c r="I75" s="70"/>
      <c r="J75" s="8"/>
      <c r="K75" s="8"/>
      <c r="L75" s="8"/>
      <c r="M75" s="8"/>
      <c r="N75" s="69">
        <v>56</v>
      </c>
      <c r="O75" s="4">
        <v>45915</v>
      </c>
      <c r="P75" s="5" t="str">
        <f t="shared" si="4"/>
        <v>Monday</v>
      </c>
      <c r="Q75" s="8"/>
      <c r="R75" s="8"/>
      <c r="S75" s="8" t="s">
        <v>156</v>
      </c>
      <c r="T75" s="8" t="s">
        <v>157</v>
      </c>
      <c r="U75" s="8" t="s">
        <v>132</v>
      </c>
      <c r="V75" s="8" t="s">
        <v>158</v>
      </c>
      <c r="W75" s="8"/>
      <c r="X75" s="8"/>
      <c r="Y75" s="8"/>
      <c r="Z75" s="8"/>
      <c r="AA75" s="8"/>
    </row>
    <row r="76" spans="1:27" ht="30" hidden="1" customHeight="1" x14ac:dyDescent="0.2">
      <c r="A76" s="4">
        <v>46274</v>
      </c>
      <c r="B76" s="65" t="str">
        <f t="shared" si="3"/>
        <v>Wednesday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9">
        <v>57</v>
      </c>
      <c r="O76" s="4">
        <v>45916</v>
      </c>
      <c r="P76" s="5" t="str">
        <f t="shared" si="4"/>
        <v>Tuesday</v>
      </c>
      <c r="Q76" s="85"/>
      <c r="R76" s="86"/>
      <c r="S76" s="86"/>
      <c r="T76" s="86"/>
      <c r="U76" s="86"/>
      <c r="V76" s="86"/>
      <c r="W76" s="86"/>
      <c r="X76" s="86"/>
      <c r="Y76" s="86"/>
      <c r="Z76" s="86"/>
      <c r="AA76" s="87"/>
    </row>
    <row r="77" spans="1:27" ht="30" hidden="1" customHeight="1" x14ac:dyDescent="0.2">
      <c r="A77" s="4">
        <v>46275</v>
      </c>
      <c r="B77" s="65" t="str">
        <f t="shared" si="3"/>
        <v>Thursday</v>
      </c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9">
        <v>58</v>
      </c>
      <c r="O77" s="4">
        <v>45917</v>
      </c>
      <c r="P77" s="5" t="str">
        <f t="shared" si="4"/>
        <v>Wednesday</v>
      </c>
      <c r="Q77" s="88"/>
      <c r="R77" s="89"/>
      <c r="S77" s="89"/>
      <c r="T77" s="89"/>
      <c r="U77" s="89"/>
      <c r="V77" s="89"/>
      <c r="W77" s="89"/>
      <c r="X77" s="89"/>
      <c r="Y77" s="89"/>
      <c r="Z77" s="89"/>
      <c r="AA77" s="90"/>
    </row>
    <row r="78" spans="1:27" ht="30" hidden="1" customHeight="1" x14ac:dyDescent="0.2">
      <c r="A78" s="4">
        <v>46276</v>
      </c>
      <c r="B78" s="65" t="str">
        <f t="shared" si="3"/>
        <v>Friday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9">
        <v>59</v>
      </c>
      <c r="O78" s="4">
        <v>45918</v>
      </c>
      <c r="P78" s="5" t="str">
        <f t="shared" si="4"/>
        <v>Thursday</v>
      </c>
      <c r="Q78" s="88"/>
      <c r="R78" s="89"/>
      <c r="S78" s="89"/>
      <c r="T78" s="89"/>
      <c r="U78" s="89"/>
      <c r="V78" s="89"/>
      <c r="W78" s="89"/>
      <c r="X78" s="89"/>
      <c r="Y78" s="89"/>
      <c r="Z78" s="89"/>
      <c r="AA78" s="90"/>
    </row>
    <row r="79" spans="1:27" ht="30" hidden="1" customHeight="1" x14ac:dyDescent="0.2">
      <c r="A79" s="4">
        <v>46277</v>
      </c>
      <c r="B79" s="65" t="str">
        <f t="shared" si="3"/>
        <v>Saturday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O79" s="4">
        <v>45919</v>
      </c>
      <c r="P79" s="5" t="str">
        <f t="shared" si="4"/>
        <v>Friday</v>
      </c>
      <c r="Q79" s="88"/>
      <c r="R79" s="89"/>
      <c r="S79" s="89"/>
      <c r="T79" s="89"/>
      <c r="U79" s="89"/>
      <c r="V79" s="89"/>
      <c r="W79" s="89"/>
      <c r="X79" s="89"/>
      <c r="Y79" s="89"/>
      <c r="Z79" s="89"/>
      <c r="AA79" s="90"/>
    </row>
    <row r="80" spans="1:27" ht="30" hidden="1" customHeight="1" x14ac:dyDescent="0.2">
      <c r="A80" s="4">
        <v>46278</v>
      </c>
      <c r="B80" s="65" t="str">
        <f t="shared" si="3"/>
        <v>Sunday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O80" s="4">
        <v>45920</v>
      </c>
      <c r="P80" s="5" t="str">
        <f t="shared" si="4"/>
        <v>Saturday</v>
      </c>
      <c r="Q80" s="88"/>
      <c r="R80" s="89"/>
      <c r="S80" s="89"/>
      <c r="T80" s="89"/>
      <c r="U80" s="89"/>
      <c r="V80" s="89"/>
      <c r="W80" s="89"/>
      <c r="X80" s="89"/>
      <c r="Y80" s="89"/>
      <c r="Z80" s="89"/>
      <c r="AA80" s="90"/>
    </row>
    <row r="81" spans="1:27" ht="30" hidden="1" customHeight="1" x14ac:dyDescent="0.2">
      <c r="A81" s="4">
        <v>46279</v>
      </c>
      <c r="B81" s="44" t="str">
        <f t="shared" si="3"/>
        <v>Monday</v>
      </c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9">
        <v>60</v>
      </c>
      <c r="O81" s="4">
        <v>45921</v>
      </c>
      <c r="P81" s="5" t="str">
        <f t="shared" si="4"/>
        <v>Sunday</v>
      </c>
      <c r="Q81" s="88"/>
      <c r="R81" s="89"/>
      <c r="S81" s="89"/>
      <c r="T81" s="89"/>
      <c r="U81" s="89"/>
      <c r="V81" s="89"/>
      <c r="W81" s="89"/>
      <c r="X81" s="89"/>
      <c r="Y81" s="89"/>
      <c r="Z81" s="89"/>
      <c r="AA81" s="90"/>
    </row>
    <row r="82" spans="1:27" ht="30" hidden="1" customHeight="1" x14ac:dyDescent="0.2">
      <c r="A82" s="4">
        <v>46280</v>
      </c>
      <c r="B82" s="65" t="str">
        <f t="shared" si="3"/>
        <v>Tuesday</v>
      </c>
      <c r="C82" s="94" t="s">
        <v>230</v>
      </c>
      <c r="D82" s="94"/>
      <c r="E82" s="94"/>
      <c r="F82" s="94"/>
      <c r="G82" s="94"/>
      <c r="H82" s="94"/>
      <c r="I82" s="94"/>
      <c r="J82" s="94"/>
      <c r="K82" s="94"/>
      <c r="L82" s="94"/>
      <c r="M82" s="94"/>
      <c r="O82" s="4">
        <v>45922</v>
      </c>
      <c r="P82" s="5" t="str">
        <f t="shared" si="4"/>
        <v>Monday</v>
      </c>
      <c r="Q82" s="88"/>
      <c r="R82" s="89"/>
      <c r="S82" s="89"/>
      <c r="T82" s="89"/>
      <c r="U82" s="89"/>
      <c r="V82" s="89"/>
      <c r="W82" s="89"/>
      <c r="X82" s="89"/>
      <c r="Y82" s="89"/>
      <c r="Z82" s="89"/>
      <c r="AA82" s="90"/>
    </row>
    <row r="83" spans="1:27" ht="30" hidden="1" customHeight="1" x14ac:dyDescent="0.2">
      <c r="A83" s="4">
        <v>46281</v>
      </c>
      <c r="B83" s="65" t="str">
        <f t="shared" si="3"/>
        <v>Wednesday</v>
      </c>
      <c r="C83" s="94" t="s">
        <v>40</v>
      </c>
      <c r="D83" s="94"/>
      <c r="E83" s="94"/>
      <c r="F83" s="94"/>
      <c r="G83" s="94"/>
      <c r="H83" s="94"/>
      <c r="I83" s="94"/>
      <c r="J83" s="94"/>
      <c r="K83" s="94"/>
      <c r="L83" s="94"/>
      <c r="M83" s="94"/>
      <c r="O83" s="4">
        <v>45923</v>
      </c>
      <c r="P83" s="5" t="str">
        <f t="shared" si="4"/>
        <v>Tuesday</v>
      </c>
      <c r="Q83" s="88"/>
      <c r="R83" s="89"/>
      <c r="S83" s="89"/>
      <c r="T83" s="89"/>
      <c r="U83" s="89"/>
      <c r="V83" s="89"/>
      <c r="W83" s="89"/>
      <c r="X83" s="89"/>
      <c r="Y83" s="89"/>
      <c r="Z83" s="89"/>
      <c r="AA83" s="90"/>
    </row>
    <row r="84" spans="1:27" ht="30" hidden="1" customHeight="1" x14ac:dyDescent="0.2">
      <c r="A84" s="4">
        <v>46282</v>
      </c>
      <c r="B84" s="65" t="str">
        <f t="shared" si="3"/>
        <v>Thursday</v>
      </c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O84" s="4">
        <v>45924</v>
      </c>
      <c r="P84" s="5" t="str">
        <f t="shared" si="4"/>
        <v>Wednesday</v>
      </c>
      <c r="Q84" s="88"/>
      <c r="R84" s="89"/>
      <c r="S84" s="89"/>
      <c r="T84" s="89"/>
      <c r="U84" s="89"/>
      <c r="V84" s="89"/>
      <c r="W84" s="89"/>
      <c r="X84" s="89"/>
      <c r="Y84" s="89"/>
      <c r="Z84" s="89"/>
      <c r="AA84" s="90"/>
    </row>
    <row r="85" spans="1:27" ht="30" hidden="1" customHeight="1" x14ac:dyDescent="0.2">
      <c r="A85" s="4">
        <v>46283</v>
      </c>
      <c r="B85" s="65" t="str">
        <f t="shared" si="3"/>
        <v>Friday</v>
      </c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O85" s="4">
        <v>45925</v>
      </c>
      <c r="P85" s="5" t="str">
        <f t="shared" si="4"/>
        <v>Thursday</v>
      </c>
      <c r="Q85" s="88"/>
      <c r="R85" s="89"/>
      <c r="S85" s="89"/>
      <c r="T85" s="89"/>
      <c r="U85" s="89"/>
      <c r="V85" s="89"/>
      <c r="W85" s="89"/>
      <c r="X85" s="89"/>
      <c r="Y85" s="89"/>
      <c r="Z85" s="89"/>
      <c r="AA85" s="90"/>
    </row>
    <row r="86" spans="1:27" ht="30" hidden="1" customHeight="1" x14ac:dyDescent="0.2">
      <c r="A86" s="4">
        <v>46284</v>
      </c>
      <c r="B86" s="65" t="str">
        <f t="shared" si="3"/>
        <v>Saturday</v>
      </c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O86" s="4">
        <v>45926</v>
      </c>
      <c r="P86" s="5" t="str">
        <f t="shared" si="4"/>
        <v>Friday</v>
      </c>
      <c r="Q86" s="88"/>
      <c r="R86" s="89"/>
      <c r="S86" s="89"/>
      <c r="T86" s="89"/>
      <c r="U86" s="89"/>
      <c r="V86" s="89"/>
      <c r="W86" s="89"/>
      <c r="X86" s="89"/>
      <c r="Y86" s="89"/>
      <c r="Z86" s="89"/>
      <c r="AA86" s="90"/>
    </row>
    <row r="87" spans="1:27" ht="30" hidden="1" customHeight="1" x14ac:dyDescent="0.2">
      <c r="A87" s="4">
        <v>46285</v>
      </c>
      <c r="B87" s="65" t="str">
        <f t="shared" si="3"/>
        <v>Sunday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O87" s="4">
        <v>45927</v>
      </c>
      <c r="P87" s="5" t="str">
        <f t="shared" si="4"/>
        <v>Saturday</v>
      </c>
      <c r="Q87" s="88"/>
      <c r="R87" s="89"/>
      <c r="S87" s="89"/>
      <c r="T87" s="89"/>
      <c r="U87" s="89"/>
      <c r="V87" s="89"/>
      <c r="W87" s="89"/>
      <c r="X87" s="89"/>
      <c r="Y87" s="89"/>
      <c r="Z87" s="89"/>
      <c r="AA87" s="90"/>
    </row>
    <row r="88" spans="1:27" ht="30" hidden="1" customHeight="1" x14ac:dyDescent="0.2">
      <c r="A88" s="4">
        <v>46286</v>
      </c>
      <c r="B88" s="65" t="str">
        <f t="shared" si="3"/>
        <v>Monday</v>
      </c>
      <c r="C88" s="94" t="s">
        <v>40</v>
      </c>
      <c r="D88" s="94"/>
      <c r="E88" s="94"/>
      <c r="F88" s="94"/>
      <c r="G88" s="94"/>
      <c r="H88" s="94"/>
      <c r="I88" s="94"/>
      <c r="J88" s="94"/>
      <c r="K88" s="94"/>
      <c r="L88" s="94"/>
      <c r="M88" s="94"/>
      <c r="O88" s="4">
        <v>45928</v>
      </c>
      <c r="P88" s="5" t="str">
        <f t="shared" si="4"/>
        <v>Sunday</v>
      </c>
      <c r="Q88" s="88"/>
      <c r="R88" s="89"/>
      <c r="S88" s="89"/>
      <c r="T88" s="89"/>
      <c r="U88" s="89"/>
      <c r="V88" s="89"/>
      <c r="W88" s="89"/>
      <c r="X88" s="89"/>
      <c r="Y88" s="89"/>
      <c r="Z88" s="89"/>
      <c r="AA88" s="90"/>
    </row>
    <row r="89" spans="1:27" ht="30" hidden="1" customHeight="1" x14ac:dyDescent="0.2">
      <c r="A89" s="4">
        <v>46287</v>
      </c>
      <c r="B89" s="65" t="str">
        <f t="shared" si="3"/>
        <v>Tuesday</v>
      </c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O89" s="4"/>
      <c r="P89" s="5"/>
      <c r="Q89" s="88"/>
      <c r="R89" s="89"/>
      <c r="S89" s="89"/>
      <c r="T89" s="89"/>
      <c r="U89" s="89"/>
      <c r="V89" s="89"/>
      <c r="W89" s="89"/>
      <c r="X89" s="89"/>
      <c r="Y89" s="89"/>
      <c r="Z89" s="89"/>
      <c r="AA89" s="90"/>
    </row>
    <row r="90" spans="1:27" ht="30" hidden="1" customHeight="1" x14ac:dyDescent="0.2">
      <c r="A90" s="4">
        <v>46288</v>
      </c>
      <c r="B90" s="65" t="str">
        <f t="shared" si="3"/>
        <v>Wednesday</v>
      </c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O90" s="4"/>
      <c r="P90" s="5"/>
      <c r="Q90" s="88"/>
      <c r="R90" s="89"/>
      <c r="S90" s="89"/>
      <c r="T90" s="89"/>
      <c r="U90" s="89"/>
      <c r="V90" s="89"/>
      <c r="W90" s="89"/>
      <c r="X90" s="89"/>
      <c r="Y90" s="89"/>
      <c r="Z90" s="89"/>
      <c r="AA90" s="90"/>
    </row>
    <row r="91" spans="1:27" ht="30" hidden="1" customHeight="1" x14ac:dyDescent="0.2">
      <c r="A91" s="4">
        <v>46289</v>
      </c>
      <c r="B91" s="65" t="str">
        <f t="shared" si="3"/>
        <v>Thursday</v>
      </c>
      <c r="C91" s="95" t="s">
        <v>88</v>
      </c>
      <c r="D91" s="95"/>
      <c r="E91" s="95"/>
      <c r="F91" s="95"/>
      <c r="G91" s="95"/>
      <c r="H91" s="95"/>
      <c r="I91" s="95"/>
      <c r="J91" s="95"/>
      <c r="K91" s="95"/>
      <c r="L91" s="95"/>
      <c r="M91" s="95"/>
      <c r="O91" s="4"/>
      <c r="P91" s="5"/>
      <c r="Q91" s="88"/>
      <c r="R91" s="89"/>
      <c r="S91" s="89"/>
      <c r="T91" s="89"/>
      <c r="U91" s="89"/>
      <c r="V91" s="89"/>
      <c r="W91" s="89"/>
      <c r="X91" s="89"/>
      <c r="Y91" s="89"/>
      <c r="Z91" s="89"/>
      <c r="AA91" s="90"/>
    </row>
    <row r="92" spans="1:27" ht="30" hidden="1" customHeight="1" x14ac:dyDescent="0.2">
      <c r="A92" s="4">
        <v>46290</v>
      </c>
      <c r="B92" s="65" t="str">
        <f t="shared" si="3"/>
        <v>Friday</v>
      </c>
      <c r="C92" s="94" t="s">
        <v>40</v>
      </c>
      <c r="D92" s="94"/>
      <c r="E92" s="94"/>
      <c r="F92" s="94"/>
      <c r="G92" s="94"/>
      <c r="H92" s="94"/>
      <c r="I92" s="94"/>
      <c r="J92" s="94"/>
      <c r="K92" s="94"/>
      <c r="L92" s="94"/>
      <c r="M92" s="94"/>
      <c r="O92" s="4"/>
      <c r="P92" s="5"/>
      <c r="Q92" s="88"/>
      <c r="R92" s="89"/>
      <c r="S92" s="89"/>
      <c r="T92" s="89"/>
      <c r="U92" s="89"/>
      <c r="V92" s="89"/>
      <c r="W92" s="89"/>
      <c r="X92" s="89"/>
      <c r="Y92" s="89"/>
      <c r="Z92" s="89"/>
      <c r="AA92" s="90"/>
    </row>
    <row r="93" spans="1:27" ht="30" hidden="1" customHeight="1" x14ac:dyDescent="0.2">
      <c r="A93" s="4">
        <v>46291</v>
      </c>
      <c r="B93" s="44" t="str">
        <f t="shared" si="3"/>
        <v>Saturday</v>
      </c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4"/>
      <c r="O93" s="4"/>
      <c r="P93" s="5"/>
      <c r="Q93" s="88"/>
      <c r="R93" s="89"/>
      <c r="S93" s="89"/>
      <c r="T93" s="89"/>
      <c r="U93" s="89"/>
      <c r="V93" s="89"/>
      <c r="W93" s="89"/>
      <c r="X93" s="89"/>
      <c r="Y93" s="89"/>
      <c r="Z93" s="89"/>
      <c r="AA93" s="90"/>
    </row>
    <row r="94" spans="1:27" ht="30" hidden="1" customHeight="1" x14ac:dyDescent="0.2">
      <c r="A94" s="4">
        <v>46292</v>
      </c>
      <c r="B94" s="44" t="str">
        <f t="shared" si="3"/>
        <v>Sunday</v>
      </c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4"/>
      <c r="O94" s="4"/>
      <c r="P94" s="5"/>
      <c r="Q94" s="88"/>
      <c r="R94" s="89"/>
      <c r="S94" s="89"/>
      <c r="T94" s="89"/>
      <c r="U94" s="89"/>
      <c r="V94" s="89"/>
      <c r="W94" s="89"/>
      <c r="X94" s="89"/>
      <c r="Y94" s="89"/>
      <c r="Z94" s="89"/>
      <c r="AA94" s="90"/>
    </row>
    <row r="95" spans="1:27" ht="30" hidden="1" customHeight="1" x14ac:dyDescent="0.2">
      <c r="A95" s="4">
        <v>46293</v>
      </c>
      <c r="B95" s="44" t="str">
        <f t="shared" si="3"/>
        <v>Monday</v>
      </c>
      <c r="C95" s="96" t="s">
        <v>231</v>
      </c>
      <c r="D95" s="97"/>
      <c r="E95" s="97"/>
      <c r="F95" s="97"/>
      <c r="G95" s="97"/>
      <c r="H95" s="97"/>
      <c r="I95" s="97"/>
      <c r="J95" s="97"/>
      <c r="K95" s="97"/>
      <c r="L95" s="97"/>
      <c r="M95" s="98"/>
      <c r="O95" s="4">
        <v>45929</v>
      </c>
      <c r="P95" s="5" t="str">
        <f t="shared" si="4"/>
        <v>Monday</v>
      </c>
      <c r="Q95" s="91"/>
      <c r="R95" s="92"/>
      <c r="S95" s="92"/>
      <c r="T95" s="92"/>
      <c r="U95" s="92"/>
      <c r="V95" s="92"/>
      <c r="W95" s="92"/>
      <c r="X95" s="92"/>
      <c r="Y95" s="92"/>
      <c r="Z95" s="92"/>
      <c r="AA95" s="93"/>
    </row>
    <row r="96" spans="1:27" ht="30" hidden="1" customHeight="1" x14ac:dyDescent="0.2">
      <c r="A96" s="38"/>
      <c r="B96" s="39"/>
    </row>
    <row r="97" spans="1:12" ht="30" hidden="1" customHeight="1" x14ac:dyDescent="0.2">
      <c r="A97" s="38"/>
      <c r="B97" s="39"/>
    </row>
    <row r="98" spans="1:12" ht="30" hidden="1" customHeight="1" x14ac:dyDescent="0.2">
      <c r="A98" s="38"/>
      <c r="B98" s="39"/>
      <c r="C98" s="54"/>
      <c r="D98" s="54"/>
      <c r="E98" s="54"/>
      <c r="F98" s="54"/>
      <c r="G98" s="54"/>
      <c r="H98" s="54"/>
      <c r="I98" s="54"/>
      <c r="J98" s="54"/>
      <c r="K98" s="54"/>
      <c r="L98" s="54"/>
    </row>
    <row r="99" spans="1:12" ht="30" hidden="1" customHeight="1" x14ac:dyDescent="0.2">
      <c r="A99" s="38"/>
      <c r="B99" s="39"/>
      <c r="C99" s="54"/>
      <c r="D99" s="54"/>
      <c r="E99" s="54"/>
      <c r="F99" s="54"/>
      <c r="G99" s="54"/>
      <c r="H99" s="54"/>
      <c r="I99" s="54"/>
      <c r="J99" s="54"/>
      <c r="K99" s="54"/>
      <c r="L99" s="54"/>
    </row>
    <row r="100" spans="1:12" ht="31.5" hidden="1" customHeight="1" x14ac:dyDescent="0.2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8" hidden="1" customHeight="1" x14ac:dyDescent="0.2">
      <c r="C101" s="2" t="s">
        <v>47</v>
      </c>
      <c r="D101" s="3">
        <f>COUNTIF($C$3:$M$96, "IPM(A)/CB(B)/CB('C)/CB(D)")</f>
        <v>0</v>
      </c>
      <c r="E101" s="3">
        <f>COUNTIF($C$3:$M$96, "IPM(A)/CB(B)/CB(D)")</f>
        <v>0</v>
      </c>
      <c r="F101" s="3"/>
      <c r="G101" s="3"/>
      <c r="H101" s="3"/>
      <c r="I101" s="3"/>
      <c r="J101" s="3"/>
      <c r="K101" s="3">
        <f>SUM(D101:J101)</f>
        <v>0</v>
      </c>
    </row>
    <row r="102" spans="1:12" ht="18" hidden="1" customHeight="1" x14ac:dyDescent="0.2">
      <c r="C102" s="10" t="s">
        <v>48</v>
      </c>
      <c r="D102" s="3">
        <f>COUNTIF($C$3:$M$96, "IPM(B)/IPM('C)/IPM(D)/CB(A)")</f>
        <v>5</v>
      </c>
      <c r="E102" s="3">
        <f ca="1">COUNTIF($C$3:$M$102, "IPM(B)/CB(A)")</f>
        <v>0</v>
      </c>
      <c r="F102" s="3"/>
      <c r="G102" s="3"/>
      <c r="H102" s="3"/>
      <c r="I102" s="3"/>
      <c r="J102" s="3"/>
      <c r="K102" s="3">
        <f t="shared" ref="K102:K142" ca="1" si="5">SUM(D102:J102)</f>
        <v>28</v>
      </c>
    </row>
    <row r="103" spans="1:12" ht="18" hidden="1" customHeight="1" x14ac:dyDescent="0.2">
      <c r="C103" s="2" t="s">
        <v>89</v>
      </c>
      <c r="D103" s="3">
        <f>COUNTIF($C$3:$M$96, "IPM(B)/IPM('C)/IPM(D)/CB(A)")</f>
        <v>5</v>
      </c>
      <c r="E103" s="3">
        <f ca="1">COUNTIF($C$3:$M$102, "IPM('C)/IPM(D)")</f>
        <v>0</v>
      </c>
      <c r="F103" s="3"/>
      <c r="G103" s="3"/>
      <c r="H103" s="3"/>
      <c r="I103" s="3"/>
      <c r="J103" s="3"/>
      <c r="K103" s="3">
        <f t="shared" ca="1" si="5"/>
        <v>28</v>
      </c>
    </row>
    <row r="104" spans="1:12" ht="18" hidden="1" customHeight="1" x14ac:dyDescent="0.2">
      <c r="C104" s="10" t="s">
        <v>90</v>
      </c>
      <c r="D104" s="3">
        <f>COUNTIF($C$3:$M$96, "IPM(B)/IPM('C)/IPM(D)/CB(A)")</f>
        <v>5</v>
      </c>
      <c r="E104" s="3">
        <f ca="1">COUNTIF($C$3:$M$102, "IPM('C)/IPM(D)")</f>
        <v>0</v>
      </c>
      <c r="F104" s="3"/>
      <c r="G104" s="3"/>
      <c r="H104" s="3"/>
      <c r="I104" s="3"/>
      <c r="J104" s="3"/>
      <c r="K104" s="3">
        <f t="shared" ca="1" si="5"/>
        <v>28</v>
      </c>
    </row>
    <row r="105" spans="1:12" ht="18" hidden="1" customHeight="1" x14ac:dyDescent="0.2">
      <c r="C105" s="10" t="s">
        <v>93</v>
      </c>
      <c r="D105" s="3">
        <f>COUNTIF($C$3:$M$96, "FSA(A)/FSA('C)/ERP('C)")</f>
        <v>0</v>
      </c>
      <c r="E105" s="3">
        <f ca="1">COUNTIF($C$3:$M$102, "FSA(A)/ERP('C)/SDM(A)")</f>
        <v>0</v>
      </c>
      <c r="F105" s="3">
        <f ca="1">COUNTIF($C$3:$M$102, "FSA(A)/SDM(A)/IB")</f>
        <v>0</v>
      </c>
      <c r="G105" s="3"/>
      <c r="H105" s="3">
        <f ca="1">COUNTIF($C$3:$M$102, "FSA(A)/ERP('C)/IB")</f>
        <v>0</v>
      </c>
      <c r="I105" s="3"/>
      <c r="J105" s="3"/>
      <c r="K105" s="3">
        <f t="shared" ca="1" si="5"/>
        <v>28</v>
      </c>
    </row>
    <row r="106" spans="1:12" ht="18" hidden="1" customHeight="1" x14ac:dyDescent="0.2">
      <c r="C106" s="10" t="s">
        <v>94</v>
      </c>
      <c r="D106" s="3">
        <f>COUNTIF($C$3:$M$96, "FSA(B)/FSA(D)/ERP(B)/SDM(A)")</f>
        <v>0</v>
      </c>
      <c r="E106" s="3">
        <f ca="1">COUNTIF($C$3:$M$102, "FSA(B)/ERP(B)")</f>
        <v>0</v>
      </c>
      <c r="F106" s="3">
        <f ca="1">COUNTIF($C$3:$M$102, "FSA(B)/FSA('C)")</f>
        <v>0</v>
      </c>
      <c r="G106" s="3"/>
      <c r="H106" s="3"/>
      <c r="I106" s="3"/>
      <c r="J106" s="3"/>
      <c r="K106" s="3">
        <f t="shared" ca="1" si="5"/>
        <v>28</v>
      </c>
    </row>
    <row r="107" spans="1:12" ht="18" hidden="1" customHeight="1" x14ac:dyDescent="0.2">
      <c r="C107" s="10" t="s">
        <v>95</v>
      </c>
      <c r="D107" s="3">
        <f>COUNTIF($C$3:$M$96, "FSA(A)/FSA('C)/ERP('C)")</f>
        <v>0</v>
      </c>
      <c r="E107" s="3">
        <f ca="1">COUNTIF($C$3:$M$102, "FSA(B)/FSA('C)")</f>
        <v>0</v>
      </c>
      <c r="F107" s="3">
        <f ca="1">COUNTIF($C$3:$M$102, "FSA('C)/ERP(B)")</f>
        <v>0</v>
      </c>
      <c r="G107" s="3"/>
      <c r="H107" s="3">
        <f ca="1">COUNTIF($C$3:$M$102, "FSA('C)")</f>
        <v>0</v>
      </c>
      <c r="I107" s="3"/>
      <c r="J107" s="3"/>
      <c r="K107" s="3">
        <f t="shared" ca="1" si="5"/>
        <v>28</v>
      </c>
    </row>
    <row r="108" spans="1:12" ht="18" hidden="1" customHeight="1" x14ac:dyDescent="0.2">
      <c r="C108" s="10" t="s">
        <v>146</v>
      </c>
      <c r="D108" s="3">
        <f>COUNTIF($C$3:$M$96, "FSA(A)/FSA('C)/ERP('C)")</f>
        <v>0</v>
      </c>
      <c r="E108" s="3"/>
      <c r="F108" s="3"/>
      <c r="G108" s="3"/>
      <c r="H108" s="3"/>
      <c r="I108" s="3"/>
      <c r="J108" s="3"/>
      <c r="K108" s="3">
        <f t="shared" si="5"/>
        <v>0</v>
      </c>
    </row>
    <row r="109" spans="1:12" ht="18" hidden="1" customHeight="1" x14ac:dyDescent="0.2">
      <c r="C109" s="10" t="s">
        <v>53</v>
      </c>
      <c r="D109" s="3">
        <f>COUNTIF($C$3:$M$96, "SBM(A)/PML(B)/MFS")</f>
        <v>0</v>
      </c>
      <c r="E109" s="3">
        <f>COUNTIF($C$3:$M$96, "SBM(A)/MFS")</f>
        <v>0</v>
      </c>
      <c r="F109" s="3">
        <f>COUNTIF($C$3:$M$96, "PML(B)/MFS")</f>
        <v>0</v>
      </c>
      <c r="G109" s="3"/>
      <c r="H109" s="3"/>
      <c r="I109" s="3"/>
      <c r="J109" s="3"/>
      <c r="K109" s="3">
        <f t="shared" si="5"/>
        <v>0</v>
      </c>
    </row>
    <row r="110" spans="1:12" ht="18" hidden="1" customHeight="1" x14ac:dyDescent="0.2">
      <c r="C110" s="10" t="s">
        <v>91</v>
      </c>
      <c r="D110" s="3">
        <f>COUNTIF($C$3:$M$96, "BM(A)/RMKT(B)/TQM(A)")</f>
        <v>0</v>
      </c>
      <c r="E110" s="3">
        <f>COUNTIF($C$3:$M$96, "BM(A)/TQM(A)")</f>
        <v>0</v>
      </c>
      <c r="F110" s="3"/>
      <c r="G110" s="3"/>
      <c r="H110" s="3"/>
      <c r="I110" s="3"/>
      <c r="J110" s="3"/>
      <c r="K110" s="3">
        <f t="shared" si="5"/>
        <v>0</v>
      </c>
    </row>
    <row r="111" spans="1:12" ht="18" hidden="1" customHeight="1" x14ac:dyDescent="0.2">
      <c r="C111" s="10" t="s">
        <v>92</v>
      </c>
      <c r="D111" s="3">
        <f>COUNTIF($C$3:$M$96, "BM(B)/RMKT(A)/TQM(B)")</f>
        <v>0</v>
      </c>
      <c r="E111" s="3">
        <f>COUNTIF($C$3:$M$96, "BM(B)/TQM(B)")</f>
        <v>0</v>
      </c>
      <c r="F111" s="3">
        <f ca="1">COUNTIF($C$3:$M$102, "BM(A)/IMC(A)")</f>
        <v>0</v>
      </c>
      <c r="G111" s="3"/>
      <c r="H111" s="3"/>
      <c r="I111" s="3"/>
      <c r="J111" s="3"/>
      <c r="K111" s="3">
        <f t="shared" ca="1" si="5"/>
        <v>28</v>
      </c>
    </row>
    <row r="112" spans="1:12" ht="18" hidden="1" customHeight="1" x14ac:dyDescent="0.2">
      <c r="C112" s="10" t="s">
        <v>147</v>
      </c>
      <c r="D112" s="3">
        <f>COUNTIF($C$3:$M$96, "BM('C)/RMKT('C)/BI('B)")</f>
        <v>0</v>
      </c>
      <c r="E112" s="3">
        <f>COUNTIF($C$3:$M$96, "BM('C)/RMKT('C)")</f>
        <v>0</v>
      </c>
      <c r="F112" s="3">
        <f>COUNTIF($C$3:$M$96, "BM('C)/BI('B)")</f>
        <v>0</v>
      </c>
      <c r="G112" s="3"/>
      <c r="H112" s="3"/>
      <c r="I112" s="3"/>
      <c r="J112" s="3"/>
      <c r="K112" s="3">
        <f t="shared" si="5"/>
        <v>0</v>
      </c>
    </row>
    <row r="113" spans="3:11" ht="18" hidden="1" customHeight="1" x14ac:dyDescent="0.2">
      <c r="C113" s="10" t="s">
        <v>96</v>
      </c>
      <c r="D113" s="3">
        <f>COUNTIF($C$3:$M$96, "FSA(B)/FSA(D)/ERP(B)/SDM(A)")</f>
        <v>0</v>
      </c>
      <c r="E113" s="3">
        <f ca="1">COUNTIF($C$3:$M$102, "PS(A)")</f>
        <v>0</v>
      </c>
      <c r="F113" s="3">
        <f ca="1">COUNTIF($C$3:$M$102, "BS('C)/PS(A)")</f>
        <v>0</v>
      </c>
      <c r="G113" s="3"/>
      <c r="H113" s="3"/>
      <c r="I113" s="3"/>
      <c r="J113" s="3"/>
      <c r="K113" s="3">
        <f t="shared" ca="1" si="5"/>
        <v>28</v>
      </c>
    </row>
    <row r="114" spans="3:11" ht="18" hidden="1" customHeight="1" x14ac:dyDescent="0.2">
      <c r="C114" s="10" t="s">
        <v>97</v>
      </c>
      <c r="D114" s="3">
        <f>COUNTIF($C$3:$M$96, "SDM(B)")</f>
        <v>6</v>
      </c>
      <c r="E114" s="3">
        <f>COUNTIF($C$3:$M$96, "BI('B)SDM(B)")</f>
        <v>0</v>
      </c>
      <c r="F114" s="3"/>
      <c r="G114" s="3"/>
      <c r="H114" s="3"/>
      <c r="I114" s="3"/>
      <c r="J114" s="3"/>
      <c r="K114" s="3">
        <f t="shared" si="5"/>
        <v>6</v>
      </c>
    </row>
    <row r="115" spans="3:11" ht="18" hidden="1" customHeight="1" x14ac:dyDescent="0.2">
      <c r="C115" s="10" t="s">
        <v>143</v>
      </c>
      <c r="D115" s="3">
        <f>COUNTIF($C$3:$M$96, "BI(A)/SDM('C)")</f>
        <v>0</v>
      </c>
      <c r="E115" s="3">
        <f>COUNTIF($C$3:$M$96, "SDM('C)")</f>
        <v>0</v>
      </c>
      <c r="F115" s="3"/>
      <c r="G115" s="3"/>
      <c r="H115" s="3"/>
      <c r="I115" s="3"/>
      <c r="J115" s="3"/>
      <c r="K115" s="3">
        <f t="shared" si="5"/>
        <v>0</v>
      </c>
    </row>
    <row r="116" spans="3:11" ht="18" hidden="1" customHeight="1" x14ac:dyDescent="0.2">
      <c r="C116" s="10" t="s">
        <v>98</v>
      </c>
      <c r="D116" s="3">
        <f>COUNTIF($C$3:$M$96, "MBC(B)/I&amp;PM(A)/I&amp;PM('C)")</f>
        <v>0</v>
      </c>
      <c r="E116" s="3"/>
      <c r="F116" s="3"/>
      <c r="G116" s="3"/>
      <c r="H116" s="3"/>
      <c r="I116" s="3"/>
      <c r="J116" s="3"/>
      <c r="K116" s="3">
        <f t="shared" si="5"/>
        <v>0</v>
      </c>
    </row>
    <row r="117" spans="3:11" ht="18" hidden="1" customHeight="1" x14ac:dyDescent="0.2">
      <c r="C117" s="10" t="s">
        <v>99</v>
      </c>
      <c r="D117" s="3">
        <f>COUNTIF($C$3:$M$96, "MBC(A)/I&amp;PM(B)/Q&amp;QRM")</f>
        <v>0</v>
      </c>
      <c r="E117" s="3">
        <f>COUNTIF($C$3:$M$96, "MBC(A)/I&amp;PM(B)")</f>
        <v>0</v>
      </c>
      <c r="F117" s="3"/>
      <c r="G117" s="3"/>
      <c r="H117" s="3"/>
      <c r="I117" s="3"/>
      <c r="J117" s="3"/>
      <c r="K117" s="3">
        <f t="shared" si="5"/>
        <v>0</v>
      </c>
    </row>
    <row r="118" spans="3:11" ht="18" hidden="1" customHeight="1" x14ac:dyDescent="0.2">
      <c r="C118" s="10" t="s">
        <v>148</v>
      </c>
      <c r="D118" s="3">
        <f>COUNTIF($C$3:$M$96, "MBC(B)/I&amp;PM(A)/I&amp;PM('C)")</f>
        <v>0</v>
      </c>
      <c r="E118" s="3">
        <f ca="1">COUNTIF($C$3:$M$102, "I&amp;PM(B)")</f>
        <v>0</v>
      </c>
      <c r="F118" s="3"/>
      <c r="G118" s="3"/>
      <c r="H118" s="3"/>
      <c r="I118" s="3"/>
      <c r="J118" s="3"/>
      <c r="K118" s="3">
        <f t="shared" ca="1" si="5"/>
        <v>28</v>
      </c>
    </row>
    <row r="119" spans="3:11" ht="18" hidden="1" customHeight="1" x14ac:dyDescent="0.2">
      <c r="C119" s="2" t="s">
        <v>149</v>
      </c>
      <c r="D119" s="3">
        <f>COUNTIF($C$3:$M$96, "SBM(A)/PML(B)/MFS")</f>
        <v>0</v>
      </c>
      <c r="E119" s="3">
        <f>COUNTIF($C$3:$M$96, "SBM(A)")</f>
        <v>0</v>
      </c>
      <c r="F119" s="3">
        <f>COUNTIF($C$3:$M$96, "SBM(A)/MFS")</f>
        <v>0</v>
      </c>
      <c r="G119" s="3"/>
      <c r="H119" s="3"/>
      <c r="I119" s="3"/>
      <c r="J119" s="3"/>
      <c r="K119" s="3">
        <f t="shared" si="5"/>
        <v>0</v>
      </c>
    </row>
    <row r="120" spans="3:11" ht="18" hidden="1" customHeight="1" x14ac:dyDescent="0.2">
      <c r="C120" s="10" t="s">
        <v>150</v>
      </c>
      <c r="D120" s="3">
        <f>COUNTIF($C$3:$M$96, "SBM(B)/PML(A)/SBM('C)")</f>
        <v>0</v>
      </c>
      <c r="E120" s="3">
        <f>COUNTIF($C$3:$M$35, "BI(A)/IMC(B)")</f>
        <v>0</v>
      </c>
      <c r="F120" s="3">
        <f>COUNTIF($C$3:$M$96, "SBM(B)/SBM('C)")</f>
        <v>0</v>
      </c>
      <c r="G120" s="3"/>
      <c r="H120" s="3"/>
      <c r="I120" s="3"/>
      <c r="J120" s="3"/>
      <c r="K120" s="3">
        <f t="shared" si="5"/>
        <v>0</v>
      </c>
    </row>
    <row r="121" spans="3:11" ht="18" hidden="1" customHeight="1" x14ac:dyDescent="0.2">
      <c r="C121" s="10" t="s">
        <v>128</v>
      </c>
      <c r="D121" s="3">
        <f>COUNTIF($C$3:$M$96, "SBM(B)/PML(A)/SBM('C)")</f>
        <v>0</v>
      </c>
      <c r="E121" s="3">
        <f>COUNTIF($C$3:$M$96, "PML(A)/SBM('C)")</f>
        <v>0</v>
      </c>
      <c r="F121" s="3">
        <f>COUNTIF($C$3:$M$96, "SBM(B)/SBM('C)")</f>
        <v>0</v>
      </c>
      <c r="G121" s="3"/>
      <c r="H121" s="3"/>
      <c r="I121" s="3"/>
      <c r="J121" s="3"/>
      <c r="K121" s="3">
        <f t="shared" si="5"/>
        <v>0</v>
      </c>
    </row>
    <row r="122" spans="3:11" ht="18" hidden="1" customHeight="1" x14ac:dyDescent="0.2">
      <c r="C122" s="10" t="s">
        <v>49</v>
      </c>
      <c r="D122" s="3">
        <f>COUNTIF($C$3:$M$96, "IPM(B)/IPM('C)/IPM(D)/CB(A)")</f>
        <v>5</v>
      </c>
      <c r="E122" s="3">
        <f ca="1">COUNTIF($C$3:$M$102, "IPM(B)/CB(A)")</f>
        <v>0</v>
      </c>
      <c r="F122" s="3"/>
      <c r="G122" s="3"/>
      <c r="H122" s="3"/>
      <c r="I122" s="3"/>
      <c r="J122" s="3"/>
      <c r="K122" s="3">
        <f t="shared" ca="1" si="5"/>
        <v>28</v>
      </c>
    </row>
    <row r="123" spans="3:11" ht="18" hidden="1" customHeight="1" x14ac:dyDescent="0.2">
      <c r="C123" s="10" t="s">
        <v>50</v>
      </c>
      <c r="D123" s="3">
        <f>COUNTIF($C$3:$M$96, "IPM(A)/CB(B)/CB('C)/CB(D)")</f>
        <v>0</v>
      </c>
      <c r="E123" s="3">
        <f>COUNTIF($C$3:$M$96, "IPM(A)/CB(B)/CB(D)")</f>
        <v>0</v>
      </c>
      <c r="F123" s="3"/>
      <c r="G123" s="3"/>
      <c r="H123" s="3"/>
      <c r="I123" s="3"/>
      <c r="J123" s="3"/>
      <c r="K123" s="3">
        <f t="shared" si="5"/>
        <v>0</v>
      </c>
    </row>
    <row r="124" spans="3:11" ht="18" hidden="1" customHeight="1" x14ac:dyDescent="0.2">
      <c r="C124" s="10" t="s">
        <v>100</v>
      </c>
      <c r="D124" s="3">
        <f>COUNTIF($C$3:$M$96, "IPM(A)/CB(B)/CB('C)/CB(D)")</f>
        <v>0</v>
      </c>
      <c r="E124" s="3">
        <f>COUNTIF($C$3:$M$96, "CB('C)")</f>
        <v>0</v>
      </c>
      <c r="F124" s="3"/>
      <c r="G124" s="3"/>
      <c r="H124" s="3"/>
      <c r="I124" s="3"/>
      <c r="J124" s="3"/>
      <c r="K124" s="3">
        <f t="shared" si="5"/>
        <v>0</v>
      </c>
    </row>
    <row r="125" spans="3:11" ht="18" hidden="1" customHeight="1" x14ac:dyDescent="0.2">
      <c r="C125" s="10" t="s">
        <v>129</v>
      </c>
      <c r="D125" s="3">
        <f>COUNTIF($C$3:$M$96, "IPM(A)/CB(B)/CB('C)/CB(D)")</f>
        <v>0</v>
      </c>
      <c r="E125" s="3">
        <f>COUNTIF($C$3:$M$96, "IPM(A)/CB(B)/CB(D)")</f>
        <v>0</v>
      </c>
      <c r="F125" s="3"/>
      <c r="G125" s="3"/>
      <c r="H125" s="3"/>
      <c r="I125" s="3"/>
      <c r="J125" s="3"/>
      <c r="K125" s="3">
        <f t="shared" si="5"/>
        <v>0</v>
      </c>
    </row>
    <row r="126" spans="3:11" ht="18" hidden="1" customHeight="1" x14ac:dyDescent="0.2">
      <c r="C126" s="10" t="s">
        <v>45</v>
      </c>
      <c r="D126" s="3">
        <f>COUNTIF($C$3:$M$96, "BM(B)/RMKT(A)/TQM(B)")</f>
        <v>0</v>
      </c>
      <c r="E126" s="3"/>
      <c r="F126" s="3"/>
      <c r="G126" s="3"/>
      <c r="H126" s="3"/>
      <c r="I126" s="3"/>
      <c r="J126" s="3"/>
      <c r="K126" s="3">
        <f t="shared" si="5"/>
        <v>0</v>
      </c>
    </row>
    <row r="127" spans="3:11" ht="18" hidden="1" customHeight="1" x14ac:dyDescent="0.2">
      <c r="C127" s="10" t="s">
        <v>46</v>
      </c>
      <c r="D127" s="3">
        <f>COUNTIF($C$3:$M$96, "BM(A)/RMKT(B)/TQM(A)")</f>
        <v>0</v>
      </c>
      <c r="E127" s="3"/>
      <c r="F127" s="3"/>
      <c r="G127" s="3"/>
      <c r="H127" s="3"/>
      <c r="I127" s="3"/>
      <c r="J127" s="3"/>
      <c r="K127" s="3">
        <f t="shared" si="5"/>
        <v>0</v>
      </c>
    </row>
    <row r="128" spans="3:11" ht="18" hidden="1" customHeight="1" x14ac:dyDescent="0.2">
      <c r="C128" s="10" t="s">
        <v>151</v>
      </c>
      <c r="D128" s="3">
        <f>COUNTIF($C$3:$M$96, "BM('C)/RMKT('C)/BI('B)")</f>
        <v>0</v>
      </c>
      <c r="E128" s="3">
        <f>COUNTIF($C$3:$M$96, "BM('C)/RMKT('C)")</f>
        <v>0</v>
      </c>
      <c r="F128" s="3"/>
      <c r="G128" s="3"/>
      <c r="H128" s="3"/>
      <c r="I128" s="3"/>
      <c r="J128" s="3"/>
      <c r="K128" s="3">
        <f t="shared" si="5"/>
        <v>0</v>
      </c>
    </row>
    <row r="129" spans="3:11" ht="18" hidden="1" customHeight="1" x14ac:dyDescent="0.2">
      <c r="C129" s="10" t="s">
        <v>118</v>
      </c>
      <c r="D129" s="3">
        <f>COUNTIF($C$3:$M$96, "MBC(A)/I&amp;PM(B)/Q&amp;QRM")</f>
        <v>0</v>
      </c>
      <c r="E129" s="3"/>
      <c r="F129" s="3"/>
      <c r="G129" s="3"/>
      <c r="H129" s="3"/>
      <c r="I129" s="3"/>
      <c r="J129" s="3"/>
      <c r="K129" s="3">
        <f t="shared" si="5"/>
        <v>0</v>
      </c>
    </row>
    <row r="130" spans="3:11" ht="18" hidden="1" customHeight="1" x14ac:dyDescent="0.2">
      <c r="C130" s="10" t="s">
        <v>152</v>
      </c>
      <c r="D130" s="3">
        <f>COUNTIF($C$3:$M$96, "SBM(B)/PML(A)/SBM('C)")</f>
        <v>0</v>
      </c>
      <c r="E130" s="3">
        <f>COUNTIF($C$3:$M$96, "PML(A)/SBM('C)")</f>
        <v>0</v>
      </c>
      <c r="F130" s="3"/>
      <c r="G130" s="3"/>
      <c r="H130" s="3"/>
      <c r="I130" s="3"/>
      <c r="J130" s="3"/>
      <c r="K130" s="3">
        <f t="shared" si="5"/>
        <v>0</v>
      </c>
    </row>
    <row r="131" spans="3:11" ht="18" hidden="1" customHeight="1" x14ac:dyDescent="0.2">
      <c r="C131" s="10" t="s">
        <v>153</v>
      </c>
      <c r="D131" s="3">
        <f>COUNTIF($C$3:$M$96, "SBM(A)/PML(B)/MFS")</f>
        <v>0</v>
      </c>
      <c r="E131" s="3">
        <f>COUNTIF($C$3:$M$96, "PML(B)/MFS")</f>
        <v>0</v>
      </c>
      <c r="F131" s="3"/>
      <c r="G131" s="3"/>
      <c r="H131" s="3"/>
      <c r="I131" s="3"/>
      <c r="J131" s="3"/>
      <c r="K131" s="3">
        <f t="shared" si="5"/>
        <v>0</v>
      </c>
    </row>
    <row r="132" spans="3:11" ht="18" hidden="1" customHeight="1" x14ac:dyDescent="0.2">
      <c r="C132" s="10" t="s">
        <v>108</v>
      </c>
      <c r="D132" s="3">
        <f>COUNTIF($C$3:$M$96, "BI(A)/SDM('C)")</f>
        <v>0</v>
      </c>
      <c r="E132" s="3">
        <f ca="1">COUNTIF($C$3:$M$102, "BI(A)")</f>
        <v>0</v>
      </c>
      <c r="F132" s="3">
        <f ca="1">COUNTIF($C$3:$M$102, "BI(A)/IMC(B)")</f>
        <v>0</v>
      </c>
      <c r="G132" s="3"/>
      <c r="H132" s="3">
        <f ca="1">COUNTIF($C$3:$M$102, "BM(B)/BI(A)")</f>
        <v>0</v>
      </c>
      <c r="I132" s="3"/>
      <c r="J132" s="3"/>
      <c r="K132" s="3">
        <f t="shared" ca="1" si="5"/>
        <v>28</v>
      </c>
    </row>
    <row r="133" spans="3:11" ht="18" hidden="1" customHeight="1" x14ac:dyDescent="0.2">
      <c r="C133" s="10" t="s">
        <v>144</v>
      </c>
      <c r="D133" s="3">
        <f>COUNTIF($C$3:$M$96, "BM('C)/RMKT('C)/BI('B)")</f>
        <v>0</v>
      </c>
      <c r="E133" s="3">
        <f>COUNTIF($C$3:$M$96, "BI('B)/SDM(B)")</f>
        <v>0</v>
      </c>
      <c r="F133" s="3">
        <f>COUNTIF($C$3:$M$96, "BI(B)")</f>
        <v>0</v>
      </c>
      <c r="G133" s="3">
        <f>COUNTIF($C$3:$M$96, "BM('C)/BI('B)")</f>
        <v>0</v>
      </c>
      <c r="H133" s="3"/>
      <c r="I133" s="3"/>
      <c r="J133" s="3"/>
      <c r="K133" s="3">
        <f t="shared" si="5"/>
        <v>0</v>
      </c>
    </row>
    <row r="134" spans="3:11" ht="18" hidden="1" customHeight="1" x14ac:dyDescent="0.2">
      <c r="C134" s="10" t="s">
        <v>145</v>
      </c>
      <c r="D134" s="3">
        <f>COUNTIF($C$3:$M$96, "BI('C)/IB")</f>
        <v>0</v>
      </c>
      <c r="E134" s="3">
        <f>COUNTIF($C$3:$M$96, "BI('C)")</f>
        <v>0</v>
      </c>
      <c r="F134" s="3"/>
      <c r="G134" s="3"/>
      <c r="H134" s="3"/>
      <c r="I134" s="3"/>
      <c r="J134" s="3"/>
      <c r="K134" s="3">
        <f t="shared" si="5"/>
        <v>0</v>
      </c>
    </row>
    <row r="135" spans="3:11" ht="18" hidden="1" customHeight="1" x14ac:dyDescent="0.2">
      <c r="C135" s="10" t="s">
        <v>101</v>
      </c>
      <c r="D135" s="3">
        <f>COUNTIF($C$3:$M$96, "MBC(A)/I&amp;PM(B)/Q&amp;QRM")</f>
        <v>0</v>
      </c>
      <c r="E135" s="3">
        <f>COUNTIF($C$3:$M$96, "MBC(A)/I&amp;PM(B)")</f>
        <v>0</v>
      </c>
      <c r="F135" s="3">
        <f ca="1">COUNTIF($C$3:$M$102, "MBC(A)")</f>
        <v>0</v>
      </c>
      <c r="G135" s="3"/>
      <c r="H135" s="3"/>
      <c r="I135" s="3"/>
      <c r="J135" s="3"/>
      <c r="K135" s="3">
        <f t="shared" ca="1" si="5"/>
        <v>28</v>
      </c>
    </row>
    <row r="136" spans="3:11" ht="18" hidden="1" customHeight="1" x14ac:dyDescent="0.2">
      <c r="C136" s="10" t="s">
        <v>102</v>
      </c>
      <c r="D136" s="3">
        <f>COUNTIF($C$3:$M$96, "MBC(B)/I&amp;PM(A)/I&amp;PM('C)")</f>
        <v>0</v>
      </c>
      <c r="E136" s="3">
        <f ca="1">COUNTIF($C$3:$M$102, "MBC(B)")</f>
        <v>0</v>
      </c>
      <c r="F136" s="3">
        <f ca="1">COUNTIF($C$3:$M$102, "MBC(B)")</f>
        <v>0</v>
      </c>
      <c r="G136" s="3"/>
      <c r="H136" s="3"/>
      <c r="I136" s="3"/>
      <c r="J136" s="3"/>
      <c r="K136" s="3">
        <f t="shared" ca="1" si="5"/>
        <v>28</v>
      </c>
    </row>
    <row r="137" spans="3:11" ht="18" hidden="1" customHeight="1" x14ac:dyDescent="0.2">
      <c r="C137" s="10" t="s">
        <v>103</v>
      </c>
      <c r="D137" s="3">
        <f>COUNTIF($C$3:$M$96, "ERP(A)")</f>
        <v>0</v>
      </c>
      <c r="E137" s="3">
        <f ca="1">COUNTIF($C$3:$M$102, "ERP(A)")</f>
        <v>0</v>
      </c>
      <c r="F137" s="3"/>
      <c r="G137" s="3"/>
      <c r="H137" s="3"/>
      <c r="I137" s="3"/>
      <c r="J137" s="3"/>
      <c r="K137" s="3">
        <f t="shared" ca="1" si="5"/>
        <v>28</v>
      </c>
    </row>
    <row r="138" spans="3:11" ht="18" hidden="1" customHeight="1" x14ac:dyDescent="0.2">
      <c r="C138" s="10" t="s">
        <v>104</v>
      </c>
      <c r="D138" s="3">
        <f>COUNTIF($C$3:$M$96, "FSA(B)/FSA(D)/ERP(B)/SDM(A)")</f>
        <v>0</v>
      </c>
      <c r="E138" s="3">
        <f ca="1">COUNTIF($C$3:$M$102, "FSA('C)/ERP(B)")</f>
        <v>0</v>
      </c>
      <c r="F138" s="3">
        <f ca="1">COUNTIF($C$3:$M$102, "FSA(B)/ERP(B)")</f>
        <v>0</v>
      </c>
      <c r="G138" s="3"/>
      <c r="H138" s="3"/>
      <c r="I138" s="3"/>
      <c r="J138" s="3"/>
      <c r="K138" s="3">
        <f t="shared" ca="1" si="5"/>
        <v>28</v>
      </c>
    </row>
    <row r="139" spans="3:11" ht="18" hidden="1" customHeight="1" x14ac:dyDescent="0.2">
      <c r="C139" s="10" t="s">
        <v>105</v>
      </c>
      <c r="D139" s="3">
        <f>COUNTIF($C$3:$M$96, "FSA(A)/FSA('C)/ERP('C)")</f>
        <v>0</v>
      </c>
      <c r="E139" s="3">
        <f ca="1">COUNTIF($C$3:$M$102, "FSA(A)/ERP('C)/SDM(A)")</f>
        <v>0</v>
      </c>
      <c r="F139" s="3">
        <f ca="1">COUNTIF($C$3:$M$102, "ERP('C)/SDM(A)/IB")</f>
        <v>0</v>
      </c>
      <c r="G139" s="3"/>
      <c r="H139" s="3">
        <f ca="1">COUNTIF($C$3:$M$102, "FSA(A)/ERP('C)/IB")</f>
        <v>0</v>
      </c>
      <c r="I139" s="3"/>
      <c r="J139" s="3"/>
      <c r="K139" s="3">
        <f t="shared" ca="1" si="5"/>
        <v>28</v>
      </c>
    </row>
    <row r="140" spans="3:11" ht="18" hidden="1" customHeight="1" x14ac:dyDescent="0.2">
      <c r="C140" s="10" t="s">
        <v>106</v>
      </c>
      <c r="D140" s="3">
        <f>COUNTIF($C$3:$M$96, "BM(A)/RMKT(B)/TQM(A)")</f>
        <v>0</v>
      </c>
      <c r="E140" s="3">
        <f>COUNTIF($C$3:$M$96, "BM(A)/TQM(A)")</f>
        <v>0</v>
      </c>
      <c r="F140" s="3"/>
      <c r="G140" s="3"/>
      <c r="H140" s="3"/>
      <c r="I140" s="3"/>
      <c r="J140" s="3"/>
      <c r="K140" s="3">
        <f t="shared" si="5"/>
        <v>0</v>
      </c>
    </row>
    <row r="141" spans="3:11" ht="18" hidden="1" customHeight="1" x14ac:dyDescent="0.2">
      <c r="C141" s="10" t="s">
        <v>107</v>
      </c>
      <c r="D141" s="3">
        <f>COUNTIF($C$3:$M$96, "BM(B)/RMKT(A)/TQM(B)")</f>
        <v>0</v>
      </c>
      <c r="E141" s="3">
        <f>COUNTIF($C$3:$M$96, "BM(B)/TQM(B)")</f>
        <v>0</v>
      </c>
      <c r="F141" s="3">
        <f ca="1">COUNTIF($C$3:$M$102, "TQM(B)/IMC(A)")</f>
        <v>0</v>
      </c>
      <c r="G141" s="3"/>
      <c r="H141" s="3"/>
      <c r="I141" s="3"/>
      <c r="J141" s="3"/>
      <c r="K141" s="3">
        <f t="shared" ca="1" si="5"/>
        <v>28</v>
      </c>
    </row>
    <row r="142" spans="3:11" ht="18" hidden="1" customHeight="1" x14ac:dyDescent="0.2">
      <c r="C142" s="10" t="s">
        <v>79</v>
      </c>
      <c r="D142" s="3">
        <f>COUNTIF($C$3:$M$96, "BI('C)/IB")</f>
        <v>0</v>
      </c>
      <c r="E142" s="3"/>
      <c r="F142" s="3"/>
      <c r="G142" s="3"/>
      <c r="H142" s="3"/>
      <c r="I142" s="3"/>
      <c r="J142" s="3"/>
      <c r="K142" s="3">
        <f t="shared" si="5"/>
        <v>0</v>
      </c>
    </row>
  </sheetData>
  <mergeCells count="16">
    <mergeCell ref="C13:M13"/>
    <mergeCell ref="A1:A2"/>
    <mergeCell ref="B1:B2"/>
    <mergeCell ref="O1:O2"/>
    <mergeCell ref="P1:P2"/>
    <mergeCell ref="H25:M29"/>
    <mergeCell ref="C51:M51"/>
    <mergeCell ref="C64:M64"/>
    <mergeCell ref="C71:M71"/>
    <mergeCell ref="Q76:AA95"/>
    <mergeCell ref="C82:M82"/>
    <mergeCell ref="C83:M86"/>
    <mergeCell ref="C88:M90"/>
    <mergeCell ref="C91:M91"/>
    <mergeCell ref="C92:M92"/>
    <mergeCell ref="C95:M95"/>
  </mergeCells>
  <conditionalFormatting sqref="D121 C30:M37 C45:M45 C39:M43 C47:M57 C60:M66 C68:M75 C10:M13 C3:M8">
    <cfRule type="containsText" dxfId="20" priority="36" operator="containsText" text="PML(A)/SBM('C)">
      <formula>NOT(ISERROR(SEARCH("PML(A)/SBM('C)",C3)))</formula>
    </cfRule>
  </conditionalFormatting>
  <conditionalFormatting sqref="C15:M15 C14:G14 J14:M14 C23:M24 C25:H25 C26:G29 C19:F21 C22:L22">
    <cfRule type="containsText" dxfId="19" priority="35" operator="containsText" text="PML(A)/SBM('C)">
      <formula>NOT(ISERROR(SEARCH("PML(A)/SBM('C)",C14)))</formula>
    </cfRule>
  </conditionalFormatting>
  <conditionalFormatting sqref="H14">
    <cfRule type="containsText" dxfId="18" priority="34" operator="containsText" text="PML(A)/SBM('C)">
      <formula>NOT(ISERROR(SEARCH("PML(A)/SBM('C)",H14)))</formula>
    </cfRule>
  </conditionalFormatting>
  <conditionalFormatting sqref="C18:L18">
    <cfRule type="containsText" dxfId="17" priority="28" operator="containsText" text="PML(A)/SBM('C)">
      <formula>NOT(ISERROR(SEARCH("PML(A)/SBM('C)",C18)))</formula>
    </cfRule>
  </conditionalFormatting>
  <conditionalFormatting sqref="G19:G21">
    <cfRule type="containsText" dxfId="16" priority="27" operator="containsText" text="PML(A)/SBM('C)">
      <formula>NOT(ISERROR(SEARCH("PML(A)/SBM('C)",G19)))</formula>
    </cfRule>
  </conditionalFormatting>
  <conditionalFormatting sqref="H19:L21">
    <cfRule type="containsText" dxfId="15" priority="26" operator="containsText" text="PML(A)/SBM('C)">
      <formula>NOT(ISERROR(SEARCH("PML(A)/SBM('C)",H19)))</formula>
    </cfRule>
  </conditionalFormatting>
  <conditionalFormatting sqref="M18:M22">
    <cfRule type="containsText" dxfId="14" priority="25" operator="containsText" text="PML(A)/SBM('C)">
      <formula>NOT(ISERROR(SEARCH("PML(A)/SBM('C)",M18)))</formula>
    </cfRule>
  </conditionalFormatting>
  <conditionalFormatting sqref="C16 I16:K16 F16:G16">
    <cfRule type="containsText" dxfId="13" priority="24" operator="containsText" text="PML(A)/SBM('C)">
      <formula>NOT(ISERROR(SEARCH("PML(A)/SBM('C)",C16)))</formula>
    </cfRule>
  </conditionalFormatting>
  <conditionalFormatting sqref="C17:M17">
    <cfRule type="containsText" dxfId="12" priority="23" operator="containsText" text="PML(A)/SBM('C)">
      <formula>NOT(ISERROR(SEARCH("PML(A)/SBM('C)",C17)))</formula>
    </cfRule>
  </conditionalFormatting>
  <conditionalFormatting sqref="C44:M44">
    <cfRule type="containsText" dxfId="11" priority="20" operator="containsText" text="PML(A)/SBM('C)">
      <formula>NOT(ISERROR(SEARCH("PML(A)/SBM('C)",C44)))</formula>
    </cfRule>
  </conditionalFormatting>
  <conditionalFormatting sqref="C46:M46">
    <cfRule type="containsText" dxfId="10" priority="22" operator="containsText" text="PML(A)/SBM('C)">
      <formula>NOT(ISERROR(SEARCH("PML(A)/SBM('C)",C46)))</formula>
    </cfRule>
  </conditionalFormatting>
  <conditionalFormatting sqref="C38:M38">
    <cfRule type="containsText" dxfId="9" priority="21" operator="containsText" text="PML(A)/SBM('C)">
      <formula>NOT(ISERROR(SEARCH("PML(A)/SBM('C)",C38)))</formula>
    </cfRule>
  </conditionalFormatting>
  <conditionalFormatting sqref="C59:M59">
    <cfRule type="containsText" dxfId="8" priority="19" operator="containsText" text="PML(A)/SBM('C)">
      <formula>NOT(ISERROR(SEARCH("PML(A)/SBM('C)",C59)))</formula>
    </cfRule>
  </conditionalFormatting>
  <conditionalFormatting sqref="C58:M58">
    <cfRule type="containsText" dxfId="7" priority="18" operator="containsText" text="PML(A)/SBM('C)">
      <formula>NOT(ISERROR(SEARCH("PML(A)/SBM('C)",C58)))</formula>
    </cfRule>
  </conditionalFormatting>
  <conditionalFormatting sqref="C67:M67">
    <cfRule type="containsText" dxfId="6" priority="17" operator="containsText" text="PML(A)/SBM('C)">
      <formula>NOT(ISERROR(SEARCH("PML(A)/SBM('C)",C67)))</formula>
    </cfRule>
  </conditionalFormatting>
  <conditionalFormatting sqref="C79:M79">
    <cfRule type="containsText" dxfId="5" priority="16" operator="containsText" text="PML(A)/SBM('C)">
      <formula>NOT(ISERROR(SEARCH("PML(A)/SBM('C)",C79)))</formula>
    </cfRule>
  </conditionalFormatting>
  <conditionalFormatting sqref="C80:M80">
    <cfRule type="containsText" dxfId="4" priority="15" operator="containsText" text="PML(A)/SBM('C)">
      <formula>NOT(ISERROR(SEARCH("PML(A)/SBM('C)",C80)))</formula>
    </cfRule>
  </conditionalFormatting>
  <conditionalFormatting sqref="C9:M9">
    <cfRule type="containsText" dxfId="3" priority="4" operator="containsText" text="PML(A)/SBM('C)">
      <formula>NOT(ISERROR(SEARCH("PML(A)/SBM('C)",C9)))</formula>
    </cfRule>
  </conditionalFormatting>
  <conditionalFormatting sqref="L16:M16">
    <cfRule type="containsText" dxfId="2" priority="3" operator="containsText" text="PML(A)/SBM('C)">
      <formula>NOT(ISERROR(SEARCH("PML(A)/SBM('C)",L16)))</formula>
    </cfRule>
  </conditionalFormatting>
  <conditionalFormatting sqref="H16">
    <cfRule type="containsText" dxfId="1" priority="2" operator="containsText" text="PML(A)/SBM('C)">
      <formula>NOT(ISERROR(SEARCH("PML(A)/SBM('C)",H16)))</formula>
    </cfRule>
  </conditionalFormatting>
  <conditionalFormatting sqref="D16:E16">
    <cfRule type="containsText" dxfId="0" priority="1" operator="containsText" text="PML(A)/SBM('C)">
      <formula>NOT(ISERROR(SEARCH("PML(A)/SBM('C)",D16)))</formula>
    </cfRule>
  </conditionalFormatting>
  <pageMargins left="0.23622047244094491" right="0.19685039370078741" top="1.1023622047244095" bottom="0.47244094488188981" header="0.27559055118110237" footer="0.19685039370078741"/>
  <pageSetup paperSize="9" scale="52" orientation="landscape" r:id="rId1"/>
  <headerFooter alignWithMargins="0">
    <oddHeader>&amp;C&amp;"times,Bold"&amp;17Institute of Management, Nirma University
Master of Business Administration &amp; B. Tech. CSE-MBA
Batch: 2025 - 2027 &amp; 2022-27 (Term - IV)
Daily Class Schedule</oddHead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Course Detail - Term IV</vt:lpstr>
      <vt:lpstr>Class Schedule-Term-IV </vt:lpstr>
      <vt:lpstr>'Class Schedule-Term-IV '!Print_Area</vt:lpstr>
      <vt:lpstr>'Course Detail - Term IV'!Print_Area</vt:lpstr>
      <vt:lpstr>'Class Schedule-Term-IV '!Print_Titles</vt:lpstr>
    </vt:vector>
  </TitlesOfParts>
  <Company>nim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Administrator</cp:lastModifiedBy>
  <cp:lastPrinted>2026-06-11T11:14:28Z</cp:lastPrinted>
  <dcterms:created xsi:type="dcterms:W3CDTF">2007-05-07T07:18:13Z</dcterms:created>
  <dcterms:modified xsi:type="dcterms:W3CDTF">2026-06-25T09:27:17Z</dcterms:modified>
</cp:coreProperties>
</file>