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"/>
    </mc:Choice>
  </mc:AlternateContent>
  <xr:revisionPtr revIDLastSave="0" documentId="13_ncr:1_{8E0B62E3-B17D-4A50-B2F0-57051CEE636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urse Detail - Term IV" sheetId="36" r:id="rId1"/>
    <sheet name="Class Schedule-Term-IV " sheetId="39" r:id="rId2"/>
  </sheets>
  <externalReferences>
    <externalReference r:id="rId3"/>
  </externalReferences>
  <definedNames>
    <definedName name="_xlnm._FilterDatabase" localSheetId="1" hidden="1">'Class Schedule-Term-IV '!$A$2:$M$23</definedName>
    <definedName name="_xlnm._FilterDatabase" localSheetId="0" hidden="1">'Course Detail - Term IV'!$A$1:$L$18</definedName>
    <definedName name="AA">[1]Range!$C$3:$D$16</definedName>
    <definedName name="FG" localSheetId="1">#REF!</definedName>
    <definedName name="FG" localSheetId="0">#REF!</definedName>
    <definedName name="FG">#REF!</definedName>
    <definedName name="GP" localSheetId="1">#REF!</definedName>
    <definedName name="GP" localSheetId="0">#REF!</definedName>
    <definedName name="GP">#REF!</definedName>
    <definedName name="_xlnm.Print_Area" localSheetId="1">'Class Schedule-Term-IV '!$A$1:$N$58</definedName>
    <definedName name="_xlnm.Print_Area" localSheetId="0">'Course Detail - Term IV'!$A$1:$L$18</definedName>
    <definedName name="_xlnm.Print_Titles" localSheetId="1">'Class Schedule-Term-IV '!$1:$2</definedName>
    <definedName name="range" localSheetId="1">#REF!</definedName>
    <definedName name="range" localSheetId="0">#REF!</definedName>
    <definedName name="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39" l="1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6" i="39"/>
  <c r="B5" i="39"/>
  <c r="B4" i="39"/>
  <c r="B3" i="39"/>
  <c r="P17" i="39"/>
  <c r="P16" i="39"/>
  <c r="P15" i="39"/>
  <c r="P14" i="39"/>
  <c r="P13" i="39"/>
  <c r="P12" i="39"/>
  <c r="P11" i="39"/>
  <c r="P10" i="39"/>
  <c r="P9" i="39"/>
  <c r="P8" i="39"/>
  <c r="P7" i="39"/>
  <c r="P6" i="39"/>
  <c r="P5" i="39"/>
  <c r="P4" i="39"/>
  <c r="P3" i="39"/>
  <c r="D70" i="39"/>
  <c r="K70" i="39" s="1"/>
  <c r="E69" i="39"/>
  <c r="D69" i="39"/>
  <c r="E68" i="39"/>
  <c r="D68" i="39"/>
  <c r="D67" i="39"/>
  <c r="D66" i="39"/>
  <c r="D65" i="39"/>
  <c r="D64" i="39"/>
  <c r="E63" i="39"/>
  <c r="D63" i="39"/>
  <c r="E62" i="39"/>
  <c r="D62" i="39"/>
  <c r="G61" i="39"/>
  <c r="F61" i="39"/>
  <c r="E61" i="39"/>
  <c r="D61" i="39"/>
  <c r="D60" i="39"/>
  <c r="E59" i="39"/>
  <c r="D59" i="39"/>
  <c r="E58" i="39"/>
  <c r="D58" i="39"/>
  <c r="D57" i="39"/>
  <c r="K57" i="39" s="1"/>
  <c r="E56" i="39"/>
  <c r="D56" i="39"/>
  <c r="D55" i="39"/>
  <c r="K55" i="39" s="1"/>
  <c r="D54" i="39"/>
  <c r="K54" i="39" s="1"/>
  <c r="E53" i="39"/>
  <c r="D53" i="39"/>
  <c r="E52" i="39"/>
  <c r="D52" i="39"/>
  <c r="E51" i="39"/>
  <c r="D51" i="39"/>
  <c r="D50" i="39"/>
  <c r="F49" i="39"/>
  <c r="E49" i="39"/>
  <c r="D49" i="39"/>
  <c r="F48" i="39"/>
  <c r="E48" i="39"/>
  <c r="D48" i="39"/>
  <c r="F47" i="39"/>
  <c r="E47" i="39"/>
  <c r="D47" i="39"/>
  <c r="D46" i="39"/>
  <c r="E45" i="39"/>
  <c r="D45" i="39"/>
  <c r="D44" i="39"/>
  <c r="K44" i="39" s="1"/>
  <c r="E43" i="39"/>
  <c r="D43" i="39"/>
  <c r="E42" i="39"/>
  <c r="D42" i="39"/>
  <c r="D41" i="39"/>
  <c r="F40" i="39"/>
  <c r="E40" i="39"/>
  <c r="D40" i="39"/>
  <c r="E39" i="39"/>
  <c r="D39" i="39"/>
  <c r="E38" i="39"/>
  <c r="D38" i="39"/>
  <c r="F37" i="39"/>
  <c r="E37" i="39"/>
  <c r="D37" i="39"/>
  <c r="D36" i="39"/>
  <c r="K36" i="39" s="1"/>
  <c r="D35" i="39"/>
  <c r="D34" i="39"/>
  <c r="D33" i="39"/>
  <c r="D32" i="39"/>
  <c r="D31" i="39"/>
  <c r="D30" i="39"/>
  <c r="E29" i="39"/>
  <c r="D29" i="39"/>
  <c r="P23" i="39"/>
  <c r="P22" i="39"/>
  <c r="P21" i="39"/>
  <c r="P20" i="39"/>
  <c r="P19" i="39"/>
  <c r="P18" i="39"/>
  <c r="K58" i="39" l="1"/>
  <c r="K62" i="39"/>
  <c r="K52" i="39"/>
  <c r="K53" i="39"/>
  <c r="K45" i="39"/>
  <c r="K61" i="39"/>
  <c r="K68" i="39"/>
  <c r="K48" i="39"/>
  <c r="K42" i="39"/>
  <c r="K43" i="39"/>
  <c r="K49" i="39"/>
  <c r="K56" i="39"/>
  <c r="K29" i="39"/>
  <c r="K38" i="39"/>
  <c r="K51" i="39"/>
  <c r="K37" i="39"/>
  <c r="K40" i="39"/>
  <c r="K59" i="39"/>
  <c r="K47" i="39"/>
  <c r="F18" i="36" l="1"/>
  <c r="A3" i="36"/>
  <c r="A4" i="36" l="1"/>
  <c r="A5" i="36" s="1"/>
  <c r="A6" i="36" s="1"/>
  <c r="A7" i="36" s="1"/>
  <c r="A8" i="36" s="1"/>
  <c r="A9" i="36" s="1"/>
  <c r="A10" i="36" s="1"/>
  <c r="A11" i="36" l="1"/>
  <c r="A12" i="36" s="1"/>
  <c r="A13" i="36" s="1"/>
  <c r="A14" i="36" s="1"/>
  <c r="A15" i="36" s="1"/>
  <c r="A16" i="36" s="1"/>
  <c r="A17" i="36" s="1"/>
  <c r="K64" i="39"/>
  <c r="E64" i="39"/>
  <c r="K39" i="39"/>
  <c r="F39" i="39"/>
  <c r="K69" i="39"/>
  <c r="F69" i="39"/>
  <c r="K65" i="39"/>
  <c r="E65" i="39"/>
  <c r="K35" i="39"/>
  <c r="E35" i="39"/>
  <c r="K33" i="39"/>
  <c r="E33" i="39"/>
  <c r="K46" i="39"/>
  <c r="E46" i="39"/>
  <c r="K67" i="39"/>
  <c r="E67" i="39"/>
  <c r="K50" i="39"/>
  <c r="E50" i="39"/>
  <c r="K63" i="39"/>
  <c r="F63" i="39"/>
  <c r="K60" i="39"/>
  <c r="E60" i="39"/>
  <c r="K31" i="39"/>
  <c r="E31" i="39"/>
  <c r="K41" i="39"/>
  <c r="E41" i="39"/>
  <c r="K66" i="39"/>
  <c r="E66" i="39"/>
  <c r="F35" i="39"/>
  <c r="H60" i="39"/>
  <c r="F66" i="39"/>
  <c r="F41" i="39"/>
  <c r="F67" i="39"/>
  <c r="F64" i="39"/>
  <c r="K30" i="39"/>
  <c r="F34" i="39"/>
  <c r="H67" i="39"/>
  <c r="H33" i="39"/>
  <c r="F33" i="39"/>
  <c r="F60" i="39"/>
  <c r="H35" i="39"/>
  <c r="E32" i="39"/>
  <c r="K32" i="39"/>
  <c r="E30" i="39"/>
  <c r="E34" i="39"/>
  <c r="K34" i="39"/>
</calcChain>
</file>

<file path=xl/sharedStrings.xml><?xml version="1.0" encoding="utf-8"?>
<sst xmlns="http://schemas.openxmlformats.org/spreadsheetml/2006/main" count="409" uniqueCount="233">
  <si>
    <t>Session-I</t>
  </si>
  <si>
    <t>Session-II</t>
  </si>
  <si>
    <t>Session-III</t>
  </si>
  <si>
    <t>Session-IV</t>
  </si>
  <si>
    <t>Session-V</t>
  </si>
  <si>
    <t>Date</t>
  </si>
  <si>
    <t>Day</t>
  </si>
  <si>
    <t>Session-VI</t>
  </si>
  <si>
    <t>Session-VII</t>
  </si>
  <si>
    <t>Session-VIII</t>
  </si>
  <si>
    <t>BM</t>
  </si>
  <si>
    <t>Sl. No.</t>
  </si>
  <si>
    <t>Course
Code</t>
  </si>
  <si>
    <t>Abbre.</t>
  </si>
  <si>
    <t>Name of the Course</t>
  </si>
  <si>
    <t>Area</t>
  </si>
  <si>
    <t>Credit
Hours</t>
  </si>
  <si>
    <t>Name of the Faculty</t>
  </si>
  <si>
    <t>Class
Room</t>
  </si>
  <si>
    <t>Division</t>
  </si>
  <si>
    <t>Student
Strength</t>
  </si>
  <si>
    <t>Co-ordinator</t>
  </si>
  <si>
    <t>Marketing</t>
  </si>
  <si>
    <t>Total Credit</t>
  </si>
  <si>
    <t>Finance</t>
  </si>
  <si>
    <t>IPM</t>
  </si>
  <si>
    <t>Investment and Portfolio Management</t>
  </si>
  <si>
    <t>FSA</t>
  </si>
  <si>
    <t>Financial Statement Analysis</t>
  </si>
  <si>
    <t>CB</t>
  </si>
  <si>
    <t>Consumer Behaviour</t>
  </si>
  <si>
    <t>RMKT</t>
  </si>
  <si>
    <t>ERP</t>
  </si>
  <si>
    <t>BI</t>
  </si>
  <si>
    <t>Business Intelligence</t>
  </si>
  <si>
    <t>Presentation - Summer Projects</t>
  </si>
  <si>
    <t>Session-IX</t>
  </si>
  <si>
    <t>RMKT(A)</t>
  </si>
  <si>
    <t>RMKT(B)</t>
  </si>
  <si>
    <t>IPM(A)</t>
  </si>
  <si>
    <t>IPM(B)</t>
  </si>
  <si>
    <t>CB(A)</t>
  </si>
  <si>
    <t>CB(B)</t>
  </si>
  <si>
    <t>MFS</t>
  </si>
  <si>
    <t>Management of Financial Service</t>
  </si>
  <si>
    <t>I&amp;PM</t>
  </si>
  <si>
    <t>PML</t>
  </si>
  <si>
    <t>OB</t>
  </si>
  <si>
    <t>Faculty Email id</t>
  </si>
  <si>
    <t>sapna@nirmauni.ac.in</t>
  </si>
  <si>
    <t>DnA</t>
  </si>
  <si>
    <t>OM</t>
  </si>
  <si>
    <t>S&amp;DM</t>
  </si>
  <si>
    <t>MBC</t>
  </si>
  <si>
    <t>TQM</t>
  </si>
  <si>
    <t>shubham.goswami@nirmauni.ac.in</t>
  </si>
  <si>
    <t>Session-X</t>
  </si>
  <si>
    <t>E &amp; S</t>
  </si>
  <si>
    <t>Innovation and Product Management</t>
  </si>
  <si>
    <t>Managing Business on Cloud</t>
  </si>
  <si>
    <t>Enterprise Resource Planning</t>
  </si>
  <si>
    <t>IB</t>
  </si>
  <si>
    <t>International Business* (MBA+IMBA)</t>
  </si>
  <si>
    <t>Prof. Nikunj Patel (Div. A&amp;B)
Prof. Bhavesh Patel (Div. C)
Prof. Dipti Saraf (Div. D)</t>
  </si>
  <si>
    <t>2
1
1</t>
  </si>
  <si>
    <t>2
1</t>
  </si>
  <si>
    <t>Total Quality Management * (MBA+IMBA)</t>
  </si>
  <si>
    <t>People Management and Leadership * (With IMBA)</t>
  </si>
  <si>
    <t>IPM(B)/IPM('C)/IPM(D)/CB(A)</t>
  </si>
  <si>
    <t>IPM(A)/CB(B)/CB('C)</t>
  </si>
  <si>
    <t>IPM(C)</t>
  </si>
  <si>
    <t>IPM(D)</t>
  </si>
  <si>
    <t>BM(A)</t>
  </si>
  <si>
    <t>BM(B)</t>
  </si>
  <si>
    <t>FSA(A)</t>
  </si>
  <si>
    <t>FSA(B)</t>
  </si>
  <si>
    <t>FSA('C)</t>
  </si>
  <si>
    <t>SDM(A)</t>
  </si>
  <si>
    <t>SDM(B)</t>
  </si>
  <si>
    <t>I&amp;PM(A)</t>
  </si>
  <si>
    <t>I&amp;PM(B)</t>
  </si>
  <si>
    <t>CB('C)</t>
  </si>
  <si>
    <t>MBC(A)</t>
  </si>
  <si>
    <t>MBC(B)</t>
  </si>
  <si>
    <t>ERP(A)</t>
  </si>
  <si>
    <t>ERP(B)</t>
  </si>
  <si>
    <t>ERP('C)</t>
  </si>
  <si>
    <t>TQM(A)</t>
  </si>
  <si>
    <t>TQM(B)</t>
  </si>
  <si>
    <t>BI(A)</t>
  </si>
  <si>
    <t>SIP</t>
  </si>
  <si>
    <t>Summer Internship</t>
  </si>
  <si>
    <t>General</t>
  </si>
  <si>
    <t>Bank Management* (With IMBA)</t>
  </si>
  <si>
    <t>Prof. Lalit Arora (Div. A, B &amp; C)</t>
  </si>
  <si>
    <t>1
2</t>
  </si>
  <si>
    <t>SBM</t>
  </si>
  <si>
    <t>Strategic Brand Management</t>
  </si>
  <si>
    <t>Retail Marketing * (1 Division with IMBA)</t>
  </si>
  <si>
    <t>Q&amp;QRM</t>
  </si>
  <si>
    <t>Prof. Sapna Prashar (Div. A ,B &amp; C)</t>
  </si>
  <si>
    <t xml:space="preserve">Prof Shubham Goswami (Div. A &amp; B ) </t>
  </si>
  <si>
    <t>Prof. Parag Rijwani (Div. A&amp;B)
Prof. Pankaj Agrawal (Div. C&amp;D) (VF)</t>
  </si>
  <si>
    <t>Prof. Sandip Trada  (Div. A) 
Prof. Rupam Deb (Div. B,C)</t>
  </si>
  <si>
    <t>nikunj@nirmauni.ac.in,
bhavesh@nirmauni.ac.in,
dipti.saraf@nirmauni.ac.in</t>
  </si>
  <si>
    <t>himanshuchauhan@nirmauni.ac.in,
jayeshaagja@nirmauni.ac.in</t>
  </si>
  <si>
    <t>punit@nirmauni.ac.in</t>
  </si>
  <si>
    <t>BM('C)/RMKT('C)/BI('B)</t>
  </si>
  <si>
    <t>BM(B)/RMKT(A)/TQM(B)</t>
  </si>
  <si>
    <t>SBM('C)</t>
  </si>
  <si>
    <t>CB(D)</t>
  </si>
  <si>
    <t>BI('C)/IB</t>
  </si>
  <si>
    <t>IPM(A)/CB(B)/CB('C)/CB(D)</t>
  </si>
  <si>
    <t>Break</t>
  </si>
  <si>
    <t>08.00AM to
09.00AM</t>
  </si>
  <si>
    <t>09.10AM to 
10.10AM</t>
  </si>
  <si>
    <t>10.20AM to 
11.20PM</t>
  </si>
  <si>
    <t>11.30AM to 
12.30PM</t>
  </si>
  <si>
    <t>1.30PM to
02.30PM</t>
  </si>
  <si>
    <t>02.40PM to
03.40PM</t>
  </si>
  <si>
    <t>03.50PM to 
04.50PM</t>
  </si>
  <si>
    <t>05.00PM to 
06.00PM</t>
  </si>
  <si>
    <t>06.10PM to 
07.10PM</t>
  </si>
  <si>
    <t>07.20PM to 
08.20PM</t>
  </si>
  <si>
    <t>SDM('C)</t>
  </si>
  <si>
    <t>BI(B)</t>
  </si>
  <si>
    <t>BI('C)</t>
  </si>
  <si>
    <t>FSA(D)</t>
  </si>
  <si>
    <t>BM('C)</t>
  </si>
  <si>
    <t>I&amp;PM(C)</t>
  </si>
  <si>
    <t>SBM(A)</t>
  </si>
  <si>
    <t>SBM(B)</t>
  </si>
  <si>
    <t>RMKT('C)</t>
  </si>
  <si>
    <t>PML(A)</t>
  </si>
  <si>
    <t>PML(B)</t>
  </si>
  <si>
    <t>12:30PM-01:30PM</t>
  </si>
  <si>
    <t>12:30PM to 01:30PM</t>
  </si>
  <si>
    <t>SBM(B)/PML(A)/</t>
  </si>
  <si>
    <t>FSA(A)/FSA('C)/SBM(A)/MFS</t>
  </si>
  <si>
    <t>FSA(B)/FSA(D)/SDM(A)</t>
  </si>
  <si>
    <t>BM(A)/RMKT(B)/TQM(A)/BI(A)</t>
  </si>
  <si>
    <t>IPM(B)/IPM('C)/IPM(D)/CB(A)/BI('C)/IB</t>
  </si>
  <si>
    <t>130
65
31</t>
  </si>
  <si>
    <t>130
60</t>
  </si>
  <si>
    <t>Prof. Rajesh Shah (VF) (Div. A&amp;B)</t>
  </si>
  <si>
    <t>175 MBA
27 IMBA</t>
  </si>
  <si>
    <t>41MBA&amp; B.Tech
29 IMBA</t>
  </si>
  <si>
    <t>70
123</t>
  </si>
  <si>
    <t>71
137</t>
  </si>
  <si>
    <t>Prof. Sanjay Jain (Div. A &amp; B)
Prof. Riddhi Ambavale (VF) (Div. C)</t>
  </si>
  <si>
    <t>sandip@nirmauni.ac.in,
rupam.deb@nirmauni.ac.in,</t>
  </si>
  <si>
    <t>pradeep.kautish@nirmauni.ac.in,
abhishek.shrivastav_vf@nirmauni.ac.in,</t>
  </si>
  <si>
    <t>lalit.arora@nirmauni.ac.in,</t>
  </si>
  <si>
    <t>rajeshshah@nirmauni.ac.in,</t>
  </si>
  <si>
    <t>parag@nirmauni.ac.in,
pankaj.agrawal@nirmauni.ac.in,</t>
  </si>
  <si>
    <t>sanjayjain@nirmauni.ac.in,
riddhi.ambavale_vf@nirmauni.ac.in,</t>
  </si>
  <si>
    <t>140
68</t>
  </si>
  <si>
    <t>Prof. Himanshu Chauhan (Div. A &amp; B)
Prof. Jayesh Aagja (Div. C)</t>
  </si>
  <si>
    <t>136
42</t>
  </si>
  <si>
    <t>2
with IMBA</t>
  </si>
  <si>
    <t>114 MBA &amp; B.Tech
23IMBA</t>
  </si>
  <si>
    <t>34 MBA&amp; B.Tech
26 IMBA</t>
  </si>
  <si>
    <t>somayya.madakam@nirmauni.ac.in</t>
  </si>
  <si>
    <t>94 MBA &amp; B.Tech
8 IMBA</t>
  </si>
  <si>
    <t>Prof. Jayesh Aagja (Div. A,B,C,D,E&amp;F)</t>
  </si>
  <si>
    <t>Prof. Nikunj Patel</t>
  </si>
  <si>
    <t>Prof. Lalit Arora</t>
  </si>
  <si>
    <t>Prof. Pradeep Kautish</t>
  </si>
  <si>
    <t>Prof. Sanjay Jain</t>
  </si>
  <si>
    <t>Prof. Pankaj Agarwal</t>
  </si>
  <si>
    <t>Prof. Sandip Trada</t>
  </si>
  <si>
    <t>Prof. Jayesh Aagja</t>
  </si>
  <si>
    <t>Prof. Sapna Parashar</t>
  </si>
  <si>
    <t>Prof. Somayya. Madakam</t>
  </si>
  <si>
    <t>Prof. Shubham Goswami</t>
  </si>
  <si>
    <t>Prof. Anand Kumar</t>
  </si>
  <si>
    <t>Prof. Dinesh panchal</t>
  </si>
  <si>
    <t>Prof. Punit Saurabh</t>
  </si>
  <si>
    <t>Prof. Somayya Madakam (Div. A,B &amp; C)</t>
  </si>
  <si>
    <t xml:space="preserve"> P. Ganesh (VF) (Div. A &amp; B)</t>
  </si>
  <si>
    <t>FSA(A)/MBC(B)/RMKT(A)</t>
  </si>
  <si>
    <t>FSA(B)/FSA('C)/MBC(A)/RMKT(B)</t>
  </si>
  <si>
    <t>BM(B)/I&amp;PM(B)/I&amp;PM(A)</t>
  </si>
  <si>
    <t>BM('C)/SDM(A)</t>
  </si>
  <si>
    <t>BM(A)/I&amp;PM('C)</t>
  </si>
  <si>
    <t>BI(A)/PML</t>
  </si>
  <si>
    <t>BI(B)/IB</t>
  </si>
  <si>
    <t>SDM('C)/SBM('C)</t>
  </si>
  <si>
    <t>7MP117SE26</t>
  </si>
  <si>
    <t>7MP113SE26</t>
  </si>
  <si>
    <t>7MP121SE26</t>
  </si>
  <si>
    <t>7MP101SE26</t>
  </si>
  <si>
    <t>7MP322SE26</t>
  </si>
  <si>
    <t>7MP312SE26</t>
  </si>
  <si>
    <t>7MP325SE26</t>
  </si>
  <si>
    <t>7MP303SE26</t>
  </si>
  <si>
    <t>7MP319SE26</t>
  </si>
  <si>
    <t>7MP506NE26</t>
  </si>
  <si>
    <t>7MP704SE26</t>
  </si>
  <si>
    <t>7MP715SE26</t>
  </si>
  <si>
    <t>7MP710SE26</t>
  </si>
  <si>
    <t>7MP215SE26</t>
  </si>
  <si>
    <t>7MP805SE26</t>
  </si>
  <si>
    <t>7MP901CC22</t>
  </si>
  <si>
    <t>Sales &amp; Distribution Management ( With HRM)</t>
  </si>
  <si>
    <t>MFS(B)/SBM(A)</t>
  </si>
  <si>
    <t>Prof. Pradeep Kautish (Div. A)
Prof. Abhishek Shrivastav (VF) (Div. B&amp;C)</t>
  </si>
  <si>
    <t>Prof. Dinesh Panchal &amp; Prof. A. B. Raju  
VF  (Div. A &amp; B)</t>
  </si>
  <si>
    <t>Lunch Break</t>
  </si>
  <si>
    <t>Prof. Deepa Sanghavi (VF)</t>
  </si>
  <si>
    <t>jayeshaagja@nirmauni.ac.in</t>
  </si>
  <si>
    <t>pganesh@nirmauni.ac.in,
anand.kumar@nirmauni.ac.in,</t>
  </si>
  <si>
    <t>deepasanghavi@nirmauni.ac.in,
nidhi.bansal@nirmauni.ac.in</t>
  </si>
  <si>
    <t>dinesh.panchal@nirmauni.ac.in,
abraju@nirmauni.ac.in</t>
  </si>
  <si>
    <t>T6
T5
309-F</t>
  </si>
  <si>
    <t>T6
T5</t>
  </si>
  <si>
    <t>T5</t>
  </si>
  <si>
    <t>T6</t>
  </si>
  <si>
    <t>T4
T4</t>
  </si>
  <si>
    <t>T4
T5</t>
  </si>
  <si>
    <t>T6
T6</t>
  </si>
  <si>
    <t>E6</t>
  </si>
  <si>
    <t>T4</t>
  </si>
  <si>
    <t>Prof. Nintin Pillai</t>
  </si>
  <si>
    <t>ERP(A)/TQM(B)/MFS(A)/SBM(B)</t>
  </si>
  <si>
    <t>ERP(B)/TQM(A)</t>
  </si>
  <si>
    <t>ERP(A)/MFS(A)</t>
  </si>
  <si>
    <t>MFS(B)</t>
  </si>
  <si>
    <t>FSA(A)/MBC(B)</t>
  </si>
  <si>
    <t>FSA(B)/FSA('C)/MBC(A)</t>
  </si>
  <si>
    <t>TQM(B)/MFS(A)/SBM(B)</t>
  </si>
  <si>
    <t>MBC(B)/RMKT(A)</t>
  </si>
  <si>
    <t>FSA('C)/MBC(A)/RMKT(B)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</si>
</sst>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Calibri"/>
      <family val="2"/>
    </font>
    <font>
      <b/>
      <sz val="12"/>
      <name val="Times New Roman"/>
      <family val="1"/>
    </font>
    <font>
      <sz val="10"/>
      <color rgb="FF00000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sz val="12"/>
      <name val="Times New Roman"/>
      <family val="1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4" fillId="0" borderId="0"/>
    <xf numFmtId="0" fontId="3" fillId="0" borderId="0"/>
    <xf numFmtId="0" fontId="3" fillId="0" borderId="0"/>
    <xf numFmtId="0" fontId="7" fillId="0" borderId="0"/>
    <xf numFmtId="0" fontId="15" fillId="0" borderId="0" applyNumberFormat="0" applyFill="0" applyBorder="0" applyAlignment="0" applyProtection="0"/>
    <xf numFmtId="0" fontId="7" fillId="0" borderId="0"/>
  </cellStyleXfs>
  <cellXfs count="72">
    <xf numFmtId="0" fontId="0" fillId="0" borderId="0" xfId="0"/>
    <xf numFmtId="0" fontId="2" fillId="3" borderId="0" xfId="0" applyFont="1" applyFill="1" applyBorder="1" applyAlignment="1">
      <alignment vertical="center"/>
    </xf>
    <xf numFmtId="0" fontId="5" fillId="3" borderId="1" xfId="3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5" fontId="9" fillId="3" borderId="1" xfId="0" quotePrefix="1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3" borderId="1" xfId="3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3" applyFont="1" applyFill="1" applyBorder="1" applyAlignment="1">
      <alignment vertical="center" wrapText="1"/>
    </xf>
    <xf numFmtId="164" fontId="5" fillId="3" borderId="1" xfId="3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0" fontId="0" fillId="3" borderId="0" xfId="0" applyFill="1"/>
    <xf numFmtId="0" fontId="12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left" vertical="center"/>
    </xf>
    <xf numFmtId="164" fontId="5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vertical="center"/>
    </xf>
    <xf numFmtId="164" fontId="12" fillId="3" borderId="1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15" fontId="9" fillId="3" borderId="0" xfId="0" quotePrefix="1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9" fillId="3" borderId="7" xfId="0" applyFont="1" applyFill="1" applyBorder="1" applyAlignment="1">
      <alignment horizontal="center" vertical="center"/>
    </xf>
    <xf numFmtId="0" fontId="15" fillId="3" borderId="1" xfId="5" applyFill="1" applyBorder="1" applyAlignment="1">
      <alignment horizontal="center" vertical="center" wrapText="1"/>
    </xf>
    <xf numFmtId="0" fontId="15" fillId="3" borderId="1" xfId="5" applyFill="1" applyBorder="1" applyAlignment="1">
      <alignment horizontal="center" vertical="center"/>
    </xf>
    <xf numFmtId="0" fontId="5" fillId="3" borderId="1" xfId="3" applyFont="1" applyFill="1" applyBorder="1" applyAlignment="1">
      <alignment vertical="center"/>
    </xf>
    <xf numFmtId="0" fontId="16" fillId="3" borderId="1" xfId="4" applyFont="1" applyFill="1" applyBorder="1" applyAlignment="1">
      <alignment horizontal="left" vertical="center" wrapText="1"/>
    </xf>
    <xf numFmtId="0" fontId="16" fillId="3" borderId="4" xfId="4" applyFont="1" applyFill="1" applyBorder="1" applyAlignment="1">
      <alignment horizontal="left" vertical="center" wrapText="1"/>
    </xf>
    <xf numFmtId="0" fontId="2" fillId="2" borderId="1" xfId="3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10" fillId="3" borderId="0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9" fillId="3" borderId="7" xfId="3" applyFont="1" applyFill="1" applyBorder="1" applyAlignment="1">
      <alignment horizontal="center" vertical="center" wrapText="1"/>
    </xf>
    <xf numFmtId="0" fontId="11" fillId="3" borderId="1" xfId="4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9" fillId="3" borderId="1" xfId="3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0" fontId="9" fillId="3" borderId="10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 wrapText="1"/>
    </xf>
    <xf numFmtId="0" fontId="9" fillId="3" borderId="12" xfId="3" applyFont="1" applyFill="1" applyBorder="1" applyAlignment="1">
      <alignment horizontal="center" vertical="center" wrapText="1"/>
    </xf>
    <xf numFmtId="0" fontId="9" fillId="3" borderId="0" xfId="3" applyFont="1" applyFill="1" applyBorder="1" applyAlignment="1">
      <alignment horizontal="center" vertical="center" wrapText="1"/>
    </xf>
    <xf numFmtId="0" fontId="9" fillId="3" borderId="11" xfId="3" applyFont="1" applyFill="1" applyBorder="1" applyAlignment="1">
      <alignment horizontal="center" vertical="center" wrapText="1"/>
    </xf>
    <xf numFmtId="0" fontId="9" fillId="3" borderId="2" xfId="3" applyFont="1" applyFill="1" applyBorder="1" applyAlignment="1">
      <alignment horizontal="center" vertical="center" wrapText="1"/>
    </xf>
    <xf numFmtId="0" fontId="1" fillId="2" borderId="1" xfId="3" applyFont="1" applyFill="1" applyBorder="1" applyAlignment="1">
      <alignment horizontal="center" vertical="center"/>
    </xf>
  </cellXfs>
  <cellStyles count="7">
    <cellStyle name="Hyperlink" xfId="5" builtinId="8"/>
    <cellStyle name="Normal" xfId="0" builtinId="0"/>
    <cellStyle name="Normal 2" xfId="1" xr:uid="{00000000-0005-0000-0000-000002000000}"/>
    <cellStyle name="Normal 2 2" xfId="3" xr:uid="{00000000-0005-0000-0000-000003000000}"/>
    <cellStyle name="Normal 2_Class Schedule-Term-I" xfId="2" xr:uid="{00000000-0005-0000-0000-000004000000}"/>
    <cellStyle name="Normal 3" xfId="4" xr:uid="{00000000-0005-0000-0000-000005000000}"/>
    <cellStyle name="Normal 3 2" xfId="6" xr:uid="{CD802BAD-EB93-4329-A575-43C694C53F01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admin\C\WINDOWS\Temporary%20Internet%20Files\Content.IE5\C967KH6Z\Data\Grade%20(FT)%20(FB)%20(PT)\Graduate%20Batch\FT\2006-08%20(FT)\Term%20-%20IV\Final%20Grade\SPM%20%20-%20Final%20Grade%20(FT)%20(06-08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ge"/>
      <sheetName val="Final Grade"/>
    </sheetNames>
    <sheetDataSet>
      <sheetData sheetId="0">
        <row r="3">
          <cell r="C3">
            <v>0</v>
          </cell>
          <cell r="D3">
            <v>0</v>
          </cell>
        </row>
        <row r="4">
          <cell r="C4" t="str">
            <v>F</v>
          </cell>
          <cell r="D4">
            <v>0</v>
          </cell>
        </row>
        <row r="5">
          <cell r="C5" t="str">
            <v>D-</v>
          </cell>
          <cell r="D5">
            <v>0.66700000000000004</v>
          </cell>
        </row>
        <row r="6">
          <cell r="C6" t="str">
            <v>D</v>
          </cell>
          <cell r="D6">
            <v>1</v>
          </cell>
        </row>
        <row r="7">
          <cell r="C7" t="str">
            <v>D+</v>
          </cell>
          <cell r="D7">
            <v>1.333</v>
          </cell>
        </row>
        <row r="8">
          <cell r="C8" t="str">
            <v>C-</v>
          </cell>
          <cell r="D8">
            <v>1.667</v>
          </cell>
        </row>
        <row r="9">
          <cell r="C9" t="str">
            <v>C</v>
          </cell>
          <cell r="D9">
            <v>2</v>
          </cell>
        </row>
        <row r="10">
          <cell r="C10" t="str">
            <v>C+</v>
          </cell>
          <cell r="D10">
            <v>2.3330000000000002</v>
          </cell>
        </row>
        <row r="11">
          <cell r="C11" t="str">
            <v>B-</v>
          </cell>
          <cell r="D11">
            <v>2.6669999999999998</v>
          </cell>
        </row>
        <row r="12">
          <cell r="C12" t="str">
            <v>B</v>
          </cell>
          <cell r="D12">
            <v>3</v>
          </cell>
        </row>
        <row r="13">
          <cell r="C13" t="str">
            <v>B+</v>
          </cell>
          <cell r="D13">
            <v>3.3330000000000002</v>
          </cell>
        </row>
        <row r="14">
          <cell r="C14" t="str">
            <v>A-</v>
          </cell>
          <cell r="D14">
            <v>3.6669999999999998</v>
          </cell>
        </row>
        <row r="15">
          <cell r="C15" t="str">
            <v>A</v>
          </cell>
          <cell r="D15">
            <v>4</v>
          </cell>
        </row>
        <row r="16">
          <cell r="C16" t="str">
            <v>A+</v>
          </cell>
          <cell r="D16">
            <v>4.3330000000000002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yeshaagja@nirmauni.ac.in" TargetMode="External"/><Relationship Id="rId3" Type="http://schemas.openxmlformats.org/officeDocument/2006/relationships/hyperlink" Target="mailto:dinesh.panchal@nirmauni.ac.in" TargetMode="External"/><Relationship Id="rId7" Type="http://schemas.openxmlformats.org/officeDocument/2006/relationships/hyperlink" Target="mailto:somayya.madakam@nirmauni.ac.in" TargetMode="External"/><Relationship Id="rId2" Type="http://schemas.openxmlformats.org/officeDocument/2006/relationships/hyperlink" Target="mailto:dipakrai@nirmauni.ac.in" TargetMode="External"/><Relationship Id="rId1" Type="http://schemas.openxmlformats.org/officeDocument/2006/relationships/hyperlink" Target="mailto:pradeep.kautish@nirmauni.ac.in," TargetMode="External"/><Relationship Id="rId6" Type="http://schemas.openxmlformats.org/officeDocument/2006/relationships/hyperlink" Target="mailto:rajeshshah@nirmauni.ac.in," TargetMode="External"/><Relationship Id="rId5" Type="http://schemas.openxmlformats.org/officeDocument/2006/relationships/hyperlink" Target="mailto:lalit.arora@nirmauni.ac.in," TargetMode="External"/><Relationship Id="rId4" Type="http://schemas.openxmlformats.org/officeDocument/2006/relationships/hyperlink" Target="mailto:sanjayjain@nirmauni.ac.in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view="pageBreakPreview" zoomScale="85" zoomScaleNormal="85" zoomScaleSheetLayoutView="85" workbookViewId="0"/>
  </sheetViews>
  <sheetFormatPr defaultRowHeight="18.95" customHeight="1" x14ac:dyDescent="0.2"/>
  <cols>
    <col min="1" max="1" width="7" style="22" customWidth="1"/>
    <col min="2" max="2" width="19" style="22" bestFit="1" customWidth="1"/>
    <col min="3" max="3" width="10.5703125" style="22" bestFit="1" customWidth="1"/>
    <col min="4" max="4" width="38.140625" style="11" customWidth="1"/>
    <col min="5" max="5" width="17.5703125" style="22" bestFit="1" customWidth="1"/>
    <col min="6" max="6" width="8.140625" style="22" bestFit="1" customWidth="1"/>
    <col min="7" max="7" width="37.7109375" style="11" customWidth="1"/>
    <col min="8" max="8" width="9.7109375" style="22" customWidth="1"/>
    <col min="9" max="9" width="42.28515625" style="22" customWidth="1"/>
    <col min="10" max="10" width="10.140625" style="22" customWidth="1"/>
    <col min="11" max="11" width="9.5703125" style="22" hidden="1" customWidth="1"/>
    <col min="12" max="12" width="21.140625" style="32" customWidth="1"/>
    <col min="13" max="13" width="9.140625" style="11" customWidth="1"/>
    <col min="14" max="16384" width="9.140625" style="11"/>
  </cols>
  <sheetData>
    <row r="1" spans="1:12" ht="31.5" x14ac:dyDescent="0.2">
      <c r="A1" s="6" t="s">
        <v>11</v>
      </c>
      <c r="B1" s="7" t="s">
        <v>12</v>
      </c>
      <c r="C1" s="6" t="s">
        <v>13</v>
      </c>
      <c r="D1" s="23" t="s">
        <v>14</v>
      </c>
      <c r="E1" s="6" t="s">
        <v>15</v>
      </c>
      <c r="F1" s="7" t="s">
        <v>16</v>
      </c>
      <c r="G1" s="6" t="s">
        <v>17</v>
      </c>
      <c r="H1" s="7" t="s">
        <v>18</v>
      </c>
      <c r="I1" s="7" t="s">
        <v>48</v>
      </c>
      <c r="J1" s="7" t="s">
        <v>19</v>
      </c>
      <c r="K1" s="7" t="s">
        <v>20</v>
      </c>
      <c r="L1" s="24" t="s">
        <v>21</v>
      </c>
    </row>
    <row r="2" spans="1:12" ht="47.25" x14ac:dyDescent="0.2">
      <c r="A2" s="10">
        <v>1</v>
      </c>
      <c r="B2" s="48" t="s">
        <v>188</v>
      </c>
      <c r="C2" s="51" t="s">
        <v>25</v>
      </c>
      <c r="D2" s="19" t="s">
        <v>26</v>
      </c>
      <c r="E2" s="12" t="s">
        <v>24</v>
      </c>
      <c r="F2" s="25">
        <v>3</v>
      </c>
      <c r="G2" s="19" t="s">
        <v>63</v>
      </c>
      <c r="H2" s="35" t="s">
        <v>214</v>
      </c>
      <c r="I2" s="35" t="s">
        <v>104</v>
      </c>
      <c r="J2" s="26" t="s">
        <v>64</v>
      </c>
      <c r="K2" s="26" t="s">
        <v>142</v>
      </c>
      <c r="L2" s="47" t="s">
        <v>165</v>
      </c>
    </row>
    <row r="3" spans="1:12" ht="31.5" x14ac:dyDescent="0.2">
      <c r="A3" s="10">
        <f>+A2+1</f>
        <v>2</v>
      </c>
      <c r="B3" s="48" t="s">
        <v>189</v>
      </c>
      <c r="C3" s="51" t="s">
        <v>27</v>
      </c>
      <c r="D3" s="19" t="s">
        <v>28</v>
      </c>
      <c r="E3" s="12" t="s">
        <v>24</v>
      </c>
      <c r="F3" s="25">
        <v>3</v>
      </c>
      <c r="G3" s="19" t="s">
        <v>102</v>
      </c>
      <c r="H3" s="35" t="s">
        <v>215</v>
      </c>
      <c r="I3" s="35" t="s">
        <v>154</v>
      </c>
      <c r="J3" s="26" t="s">
        <v>65</v>
      </c>
      <c r="K3" s="26" t="s">
        <v>143</v>
      </c>
      <c r="L3" s="27" t="s">
        <v>169</v>
      </c>
    </row>
    <row r="4" spans="1:12" ht="28.5" customHeight="1" x14ac:dyDescent="0.2">
      <c r="A4" s="10">
        <f>+A3+1</f>
        <v>3</v>
      </c>
      <c r="B4" s="49" t="s">
        <v>190</v>
      </c>
      <c r="C4" s="52" t="s">
        <v>43</v>
      </c>
      <c r="D4" s="40" t="s">
        <v>44</v>
      </c>
      <c r="E4" s="12" t="s">
        <v>24</v>
      </c>
      <c r="F4" s="28">
        <v>3</v>
      </c>
      <c r="G4" s="41" t="s">
        <v>144</v>
      </c>
      <c r="H4" s="10" t="s">
        <v>216</v>
      </c>
      <c r="I4" s="38" t="s">
        <v>153</v>
      </c>
      <c r="J4" s="26">
        <v>2</v>
      </c>
      <c r="K4" s="26">
        <v>107</v>
      </c>
      <c r="L4" s="27" t="s">
        <v>169</v>
      </c>
    </row>
    <row r="5" spans="1:12" ht="28.5" customHeight="1" x14ac:dyDescent="0.2">
      <c r="A5" s="10">
        <f t="shared" ref="A5:A17" si="0">+A4+1</f>
        <v>4</v>
      </c>
      <c r="B5" s="49" t="s">
        <v>191</v>
      </c>
      <c r="C5" s="52" t="s">
        <v>10</v>
      </c>
      <c r="D5" s="40" t="s">
        <v>93</v>
      </c>
      <c r="E5" s="12" t="s">
        <v>24</v>
      </c>
      <c r="F5" s="28">
        <v>3</v>
      </c>
      <c r="G5" s="42" t="s">
        <v>94</v>
      </c>
      <c r="H5" s="10" t="s">
        <v>221</v>
      </c>
      <c r="I5" s="39" t="s">
        <v>152</v>
      </c>
      <c r="J5" s="26">
        <v>3</v>
      </c>
      <c r="K5" s="26" t="s">
        <v>145</v>
      </c>
      <c r="L5" s="29" t="s">
        <v>166</v>
      </c>
    </row>
    <row r="6" spans="1:12" ht="45" x14ac:dyDescent="0.2">
      <c r="A6" s="10">
        <f t="shared" si="0"/>
        <v>5</v>
      </c>
      <c r="B6" s="48" t="s">
        <v>192</v>
      </c>
      <c r="C6" s="53" t="s">
        <v>52</v>
      </c>
      <c r="D6" s="40" t="s">
        <v>204</v>
      </c>
      <c r="E6" s="2" t="s">
        <v>22</v>
      </c>
      <c r="F6" s="16">
        <v>3</v>
      </c>
      <c r="G6" s="57" t="s">
        <v>206</v>
      </c>
      <c r="H6" s="26" t="s">
        <v>218</v>
      </c>
      <c r="I6" s="38" t="s">
        <v>151</v>
      </c>
      <c r="J6" s="26" t="s">
        <v>95</v>
      </c>
      <c r="K6" s="26" t="s">
        <v>147</v>
      </c>
      <c r="L6" s="14" t="s">
        <v>167</v>
      </c>
    </row>
    <row r="7" spans="1:12" ht="49.5" customHeight="1" x14ac:dyDescent="0.2">
      <c r="A7" s="10">
        <f t="shared" si="0"/>
        <v>6</v>
      </c>
      <c r="B7" s="48" t="s">
        <v>193</v>
      </c>
      <c r="C7" s="53" t="s">
        <v>45</v>
      </c>
      <c r="D7" s="15" t="s">
        <v>58</v>
      </c>
      <c r="E7" s="2" t="s">
        <v>22</v>
      </c>
      <c r="F7" s="16">
        <v>3</v>
      </c>
      <c r="G7" s="19" t="s">
        <v>103</v>
      </c>
      <c r="H7" s="26" t="s">
        <v>219</v>
      </c>
      <c r="I7" s="26" t="s">
        <v>150</v>
      </c>
      <c r="J7" s="26" t="s">
        <v>95</v>
      </c>
      <c r="K7" s="26" t="s">
        <v>148</v>
      </c>
      <c r="L7" s="14" t="s">
        <v>170</v>
      </c>
    </row>
    <row r="8" spans="1:12" ht="28.5" customHeight="1" x14ac:dyDescent="0.2">
      <c r="A8" s="10">
        <f t="shared" si="0"/>
        <v>7</v>
      </c>
      <c r="B8" s="48" t="s">
        <v>194</v>
      </c>
      <c r="C8" s="53" t="s">
        <v>96</v>
      </c>
      <c r="D8" s="15" t="s">
        <v>97</v>
      </c>
      <c r="E8" s="2" t="s">
        <v>22</v>
      </c>
      <c r="F8" s="16">
        <v>3</v>
      </c>
      <c r="G8" s="19" t="s">
        <v>149</v>
      </c>
      <c r="H8" s="26" t="s">
        <v>220</v>
      </c>
      <c r="I8" s="38" t="s">
        <v>155</v>
      </c>
      <c r="J8" s="26" t="s">
        <v>65</v>
      </c>
      <c r="K8" s="26" t="s">
        <v>156</v>
      </c>
      <c r="L8" s="14" t="s">
        <v>168</v>
      </c>
    </row>
    <row r="9" spans="1:12" ht="77.25" customHeight="1" x14ac:dyDescent="0.2">
      <c r="A9" s="10">
        <f t="shared" si="0"/>
        <v>8</v>
      </c>
      <c r="B9" s="48" t="s">
        <v>195</v>
      </c>
      <c r="C9" s="53" t="s">
        <v>29</v>
      </c>
      <c r="D9" s="15" t="s">
        <v>30</v>
      </c>
      <c r="E9" s="2" t="s">
        <v>22</v>
      </c>
      <c r="F9" s="16">
        <v>3</v>
      </c>
      <c r="G9" s="15" t="s">
        <v>157</v>
      </c>
      <c r="H9" s="26" t="s">
        <v>219</v>
      </c>
      <c r="I9" s="26" t="s">
        <v>105</v>
      </c>
      <c r="J9" s="26" t="s">
        <v>65</v>
      </c>
      <c r="K9" s="26" t="s">
        <v>158</v>
      </c>
      <c r="L9" s="14" t="s">
        <v>171</v>
      </c>
    </row>
    <row r="10" spans="1:12" ht="82.5" customHeight="1" x14ac:dyDescent="0.2">
      <c r="A10" s="10">
        <f t="shared" si="0"/>
        <v>9</v>
      </c>
      <c r="B10" s="50" t="s">
        <v>196</v>
      </c>
      <c r="C10" s="53" t="s">
        <v>31</v>
      </c>
      <c r="D10" s="15" t="s">
        <v>98</v>
      </c>
      <c r="E10" s="2" t="s">
        <v>22</v>
      </c>
      <c r="F10" s="13">
        <v>3</v>
      </c>
      <c r="G10" s="29" t="s">
        <v>100</v>
      </c>
      <c r="H10" s="26" t="s">
        <v>221</v>
      </c>
      <c r="I10" s="10" t="s">
        <v>49</v>
      </c>
      <c r="J10" s="26" t="s">
        <v>159</v>
      </c>
      <c r="K10" s="26" t="s">
        <v>160</v>
      </c>
      <c r="L10" s="14" t="s">
        <v>172</v>
      </c>
    </row>
    <row r="11" spans="1:12" ht="63" x14ac:dyDescent="0.2">
      <c r="A11" s="10">
        <f t="shared" si="0"/>
        <v>10</v>
      </c>
      <c r="B11" s="48" t="s">
        <v>197</v>
      </c>
      <c r="C11" s="53" t="s">
        <v>46</v>
      </c>
      <c r="D11" s="15" t="s">
        <v>67</v>
      </c>
      <c r="E11" s="2" t="s">
        <v>47</v>
      </c>
      <c r="F11" s="13">
        <v>3</v>
      </c>
      <c r="G11" s="29" t="s">
        <v>209</v>
      </c>
      <c r="H11" s="10" t="s">
        <v>221</v>
      </c>
      <c r="I11" s="38" t="s">
        <v>212</v>
      </c>
      <c r="J11" s="10">
        <v>1</v>
      </c>
      <c r="K11" s="26" t="s">
        <v>161</v>
      </c>
      <c r="L11" s="14" t="s">
        <v>223</v>
      </c>
    </row>
    <row r="12" spans="1:12" ht="57" customHeight="1" x14ac:dyDescent="0.2">
      <c r="A12" s="10">
        <f t="shared" si="0"/>
        <v>11</v>
      </c>
      <c r="B12" s="48" t="s">
        <v>198</v>
      </c>
      <c r="C12" s="53" t="s">
        <v>33</v>
      </c>
      <c r="D12" s="15" t="s">
        <v>34</v>
      </c>
      <c r="E12" s="2" t="s">
        <v>50</v>
      </c>
      <c r="F12" s="16">
        <v>3</v>
      </c>
      <c r="G12" s="15" t="s">
        <v>178</v>
      </c>
      <c r="H12" s="26" t="s">
        <v>217</v>
      </c>
      <c r="I12" s="38" t="s">
        <v>162</v>
      </c>
      <c r="J12" s="26">
        <v>3</v>
      </c>
      <c r="K12" s="10">
        <v>151</v>
      </c>
      <c r="L12" s="14" t="s">
        <v>173</v>
      </c>
    </row>
    <row r="13" spans="1:12" ht="63" customHeight="1" x14ac:dyDescent="0.2">
      <c r="A13" s="10">
        <f t="shared" si="0"/>
        <v>12</v>
      </c>
      <c r="B13" s="48" t="s">
        <v>199</v>
      </c>
      <c r="C13" s="51" t="s">
        <v>53</v>
      </c>
      <c r="D13" s="19" t="s">
        <v>59</v>
      </c>
      <c r="E13" s="10" t="s">
        <v>50</v>
      </c>
      <c r="F13" s="13">
        <v>3</v>
      </c>
      <c r="G13" s="19" t="s">
        <v>101</v>
      </c>
      <c r="H13" s="26" t="s">
        <v>222</v>
      </c>
      <c r="I13" s="10" t="s">
        <v>55</v>
      </c>
      <c r="J13" s="10">
        <v>2</v>
      </c>
      <c r="K13" s="10">
        <v>145</v>
      </c>
      <c r="L13" s="14" t="s">
        <v>174</v>
      </c>
    </row>
    <row r="14" spans="1:12" s="20" customFormat="1" ht="28.5" customHeight="1" x14ac:dyDescent="0.2">
      <c r="A14" s="10">
        <f t="shared" si="0"/>
        <v>13</v>
      </c>
      <c r="B14" s="49" t="s">
        <v>200</v>
      </c>
      <c r="C14" s="53" t="s">
        <v>32</v>
      </c>
      <c r="D14" s="15" t="s">
        <v>60</v>
      </c>
      <c r="E14" s="10" t="s">
        <v>50</v>
      </c>
      <c r="F14" s="13">
        <v>3</v>
      </c>
      <c r="G14" s="15" t="s">
        <v>179</v>
      </c>
      <c r="H14" s="10" t="s">
        <v>222</v>
      </c>
      <c r="I14" s="38" t="s">
        <v>211</v>
      </c>
      <c r="J14" s="10">
        <v>2</v>
      </c>
      <c r="K14" s="10">
        <v>147</v>
      </c>
      <c r="L14" s="17" t="s">
        <v>175</v>
      </c>
    </row>
    <row r="15" spans="1:12" s="36" customFormat="1" ht="28.5" customHeight="1" x14ac:dyDescent="0.2">
      <c r="A15" s="10">
        <f t="shared" si="0"/>
        <v>14</v>
      </c>
      <c r="B15" s="49" t="s">
        <v>201</v>
      </c>
      <c r="C15" s="53" t="s">
        <v>54</v>
      </c>
      <c r="D15" s="15" t="s">
        <v>66</v>
      </c>
      <c r="E15" s="10" t="s">
        <v>51</v>
      </c>
      <c r="F15" s="16">
        <v>3</v>
      </c>
      <c r="G15" s="15" t="s">
        <v>207</v>
      </c>
      <c r="H15" s="10" t="s">
        <v>221</v>
      </c>
      <c r="I15" s="38" t="s">
        <v>213</v>
      </c>
      <c r="J15" s="10">
        <v>2</v>
      </c>
      <c r="K15" s="26" t="s">
        <v>163</v>
      </c>
      <c r="L15" s="18" t="s">
        <v>176</v>
      </c>
    </row>
    <row r="16" spans="1:12" ht="40.5" customHeight="1" x14ac:dyDescent="0.2">
      <c r="A16" s="10">
        <f t="shared" si="0"/>
        <v>15</v>
      </c>
      <c r="B16" s="48" t="s">
        <v>202</v>
      </c>
      <c r="C16" s="52" t="s">
        <v>61</v>
      </c>
      <c r="D16" s="15" t="s">
        <v>62</v>
      </c>
      <c r="E16" s="2" t="s">
        <v>57</v>
      </c>
      <c r="F16" s="28">
        <v>3</v>
      </c>
      <c r="G16" s="15" t="s">
        <v>177</v>
      </c>
      <c r="H16" s="26" t="s">
        <v>221</v>
      </c>
      <c r="I16" s="38" t="s">
        <v>106</v>
      </c>
      <c r="J16" s="26">
        <v>1</v>
      </c>
      <c r="K16" s="26" t="s">
        <v>146</v>
      </c>
      <c r="L16" s="32" t="s">
        <v>177</v>
      </c>
    </row>
    <row r="17" spans="1:12" s="36" customFormat="1" ht="28.5" customHeight="1" x14ac:dyDescent="0.2">
      <c r="A17" s="10">
        <f t="shared" si="0"/>
        <v>16</v>
      </c>
      <c r="B17" s="12" t="s">
        <v>203</v>
      </c>
      <c r="C17" s="52" t="s">
        <v>90</v>
      </c>
      <c r="D17" s="15" t="s">
        <v>91</v>
      </c>
      <c r="E17" s="2" t="s">
        <v>92</v>
      </c>
      <c r="F17" s="28">
        <v>6</v>
      </c>
      <c r="G17" s="15" t="s">
        <v>164</v>
      </c>
      <c r="H17" s="26"/>
      <c r="I17" s="38" t="s">
        <v>210</v>
      </c>
      <c r="J17" s="26">
        <v>1</v>
      </c>
      <c r="K17" s="26"/>
      <c r="L17" s="29" t="s">
        <v>171</v>
      </c>
    </row>
    <row r="18" spans="1:12" ht="24.95" customHeight="1" x14ac:dyDescent="0.2">
      <c r="A18" s="30"/>
      <c r="E18" s="21" t="s">
        <v>23</v>
      </c>
      <c r="F18" s="31">
        <f>SUM(F2:F17)</f>
        <v>51</v>
      </c>
      <c r="L18" s="44"/>
    </row>
  </sheetData>
  <autoFilter ref="A1:L18" xr:uid="{00000000-0001-0000-0000-000000000000}"/>
  <hyperlinks>
    <hyperlink ref="I6" r:id="rId1" display="pradeep.kautish@nirmauni.ac.in,_x000a_" xr:uid="{B96F51E9-95A9-462A-9C24-38262EC05A3C}"/>
    <hyperlink ref="I14" r:id="rId2" display="dipakrai@nirmauni.ac.in_x000a_" xr:uid="{98DCA64B-D337-479D-94A7-8673DA33F0BB}"/>
    <hyperlink ref="I15" r:id="rId3" display="dinesh.panchal@nirmauni.ac.in" xr:uid="{5DE77399-CE3C-42F2-B89C-133004886693}"/>
    <hyperlink ref="I8" r:id="rId4" display="sanjayjain@nirmauni.ac.in" xr:uid="{5AA8DE5A-485F-4063-AFDD-E7EB43D51FE5}"/>
    <hyperlink ref="I5" r:id="rId5" xr:uid="{56B6D839-9458-4C31-8BC5-578330B59E67}"/>
    <hyperlink ref="I4" r:id="rId6" xr:uid="{A91F1D7C-113A-4ECD-9A99-AA5C2882804E}"/>
    <hyperlink ref="I12" r:id="rId7" xr:uid="{6C5CE10F-23EC-4421-9008-811130FEB4E0}"/>
    <hyperlink ref="I17" r:id="rId8" xr:uid="{E2F691B5-8EC0-4F90-ABAF-615785FDBE40}"/>
  </hyperlinks>
  <printOptions horizontalCentered="1"/>
  <pageMargins left="0.15748031496062992" right="0.15748031496062992" top="0.82677165354330717" bottom="0.23622047244094491" header="0.23622047244094491" footer="0.27559055118110237"/>
  <pageSetup paperSize="9" scale="60" orientation="landscape" r:id="rId9"/>
  <headerFooter alignWithMargins="0">
    <oddHeader>&amp;C&amp;"+,Bold"&amp;14Master of Business Administration &amp; B. Tech. CSE-MBA
Batch: 2025 - 2027 &amp; 2022-27 (Term - IV)
Details of Courses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8DB1-8BC5-4B08-9108-408FEB70DDD1}">
  <dimension ref="A1:AA117"/>
  <sheetViews>
    <sheetView tabSelected="1" view="pageBreakPreview" zoomScale="85" zoomScaleNormal="85" zoomScaleSheetLayoutView="85" workbookViewId="0">
      <selection sqref="A1:A2"/>
    </sheetView>
  </sheetViews>
  <sheetFormatPr defaultRowHeight="18" customHeight="1" x14ac:dyDescent="0.2"/>
  <cols>
    <col min="1" max="1" width="11.7109375" style="55" bestFit="1" customWidth="1"/>
    <col min="2" max="2" width="11.5703125" style="55" customWidth="1"/>
    <col min="3" max="3" width="27.5703125" style="55" customWidth="1"/>
    <col min="4" max="4" width="27.140625" style="55" customWidth="1"/>
    <col min="5" max="5" width="28.28515625" style="55" customWidth="1"/>
    <col min="6" max="7" width="26.7109375" style="55" customWidth="1"/>
    <col min="8" max="8" width="23.42578125" style="55" customWidth="1"/>
    <col min="9" max="9" width="20.5703125" style="55" customWidth="1"/>
    <col min="10" max="10" width="22.5703125" style="55" customWidth="1"/>
    <col min="11" max="12" width="15.7109375" style="55" customWidth="1"/>
    <col min="13" max="13" width="10.5703125" style="55" bestFit="1" customWidth="1"/>
    <col min="14" max="14" width="12" style="55" customWidth="1"/>
    <col min="15" max="15" width="9.85546875" style="55" bestFit="1" customWidth="1"/>
    <col min="16" max="16384" width="9.140625" style="55"/>
  </cols>
  <sheetData>
    <row r="1" spans="1:27" ht="23.25" customHeight="1" x14ac:dyDescent="0.2">
      <c r="A1" s="60" t="s">
        <v>5</v>
      </c>
      <c r="B1" s="62" t="s">
        <v>6</v>
      </c>
      <c r="C1" s="6" t="s">
        <v>0</v>
      </c>
      <c r="D1" s="6" t="s">
        <v>1</v>
      </c>
      <c r="E1" s="6" t="s">
        <v>2</v>
      </c>
      <c r="F1" s="6" t="s">
        <v>3</v>
      </c>
      <c r="G1" s="6"/>
      <c r="H1" s="6" t="s">
        <v>4</v>
      </c>
      <c r="I1" s="6" t="s">
        <v>7</v>
      </c>
      <c r="J1" s="6" t="s">
        <v>8</v>
      </c>
      <c r="K1" s="6" t="s">
        <v>9</v>
      </c>
      <c r="L1" s="6" t="s">
        <v>36</v>
      </c>
      <c r="M1" s="6" t="s">
        <v>56</v>
      </c>
      <c r="O1" s="64" t="s">
        <v>5</v>
      </c>
      <c r="P1" s="64" t="s">
        <v>6</v>
      </c>
      <c r="Q1" s="54" t="s">
        <v>0</v>
      </c>
      <c r="R1" s="54" t="s">
        <v>1</v>
      </c>
      <c r="S1" s="54" t="s">
        <v>2</v>
      </c>
      <c r="T1" s="54" t="s">
        <v>3</v>
      </c>
      <c r="U1" s="54"/>
      <c r="V1" s="54" t="s">
        <v>4</v>
      </c>
      <c r="W1" s="54" t="s">
        <v>7</v>
      </c>
      <c r="X1" s="54" t="s">
        <v>8</v>
      </c>
      <c r="Y1" s="54" t="s">
        <v>9</v>
      </c>
      <c r="Z1" s="54" t="s">
        <v>36</v>
      </c>
      <c r="AA1" s="54" t="s">
        <v>56</v>
      </c>
    </row>
    <row r="2" spans="1:27" ht="51" customHeight="1" x14ac:dyDescent="0.2">
      <c r="A2" s="61"/>
      <c r="B2" s="63"/>
      <c r="C2" s="7" t="s">
        <v>114</v>
      </c>
      <c r="D2" s="7" t="s">
        <v>115</v>
      </c>
      <c r="E2" s="7" t="s">
        <v>116</v>
      </c>
      <c r="F2" s="7" t="s">
        <v>117</v>
      </c>
      <c r="G2" s="7" t="s">
        <v>135</v>
      </c>
      <c r="H2" s="7" t="s">
        <v>118</v>
      </c>
      <c r="I2" s="7" t="s">
        <v>119</v>
      </c>
      <c r="J2" s="7" t="s">
        <v>120</v>
      </c>
      <c r="K2" s="7" t="s">
        <v>121</v>
      </c>
      <c r="L2" s="7" t="s">
        <v>122</v>
      </c>
      <c r="M2" s="7" t="s">
        <v>123</v>
      </c>
      <c r="O2" s="64"/>
      <c r="P2" s="64"/>
      <c r="Q2" s="46" t="s">
        <v>114</v>
      </c>
      <c r="R2" s="46" t="s">
        <v>115</v>
      </c>
      <c r="S2" s="46" t="s">
        <v>116</v>
      </c>
      <c r="T2" s="46" t="s">
        <v>117</v>
      </c>
      <c r="U2" s="46" t="s">
        <v>136</v>
      </c>
      <c r="V2" s="46" t="s">
        <v>118</v>
      </c>
      <c r="W2" s="46" t="s">
        <v>119</v>
      </c>
      <c r="X2" s="46" t="s">
        <v>120</v>
      </c>
      <c r="Y2" s="46" t="s">
        <v>121</v>
      </c>
      <c r="Z2" s="46" t="s">
        <v>122</v>
      </c>
      <c r="AA2" s="46" t="s">
        <v>123</v>
      </c>
    </row>
    <row r="3" spans="1:27" ht="30" customHeight="1" x14ac:dyDescent="0.2">
      <c r="A3" s="4">
        <v>46216</v>
      </c>
      <c r="B3" s="37" t="str">
        <f t="shared" ref="B3:B23" si="0">TEXT(A3,"DDDDDDDDDDDDDDDDDDDDDDDDDDD")</f>
        <v>Monday</v>
      </c>
      <c r="C3" s="8" t="s">
        <v>68</v>
      </c>
      <c r="D3" s="8" t="s">
        <v>69</v>
      </c>
      <c r="E3" s="8" t="s">
        <v>231</v>
      </c>
      <c r="F3" s="8" t="s">
        <v>232</v>
      </c>
      <c r="G3" s="8" t="s">
        <v>185</v>
      </c>
      <c r="H3" s="8" t="s">
        <v>208</v>
      </c>
      <c r="I3" s="8" t="s">
        <v>186</v>
      </c>
      <c r="J3" s="8"/>
      <c r="K3" s="8"/>
      <c r="L3" s="8"/>
      <c r="M3" s="56"/>
      <c r="N3" s="58">
        <v>13</v>
      </c>
      <c r="O3" s="4">
        <v>46202</v>
      </c>
      <c r="P3" s="37" t="str">
        <f t="shared" ref="P3:P17" si="1">TEXT(O3,"DDDDDDDDDDDDDDDDDDDDDDDDDDD")</f>
        <v>Monday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30" customHeight="1" x14ac:dyDescent="0.2">
      <c r="A4" s="4">
        <v>46217</v>
      </c>
      <c r="B4" s="37" t="str">
        <f t="shared" si="0"/>
        <v>Tuesday</v>
      </c>
      <c r="C4" s="8"/>
      <c r="D4" s="8" t="s">
        <v>184</v>
      </c>
      <c r="E4" s="8" t="s">
        <v>182</v>
      </c>
      <c r="F4" s="8" t="s">
        <v>183</v>
      </c>
      <c r="G4" s="8" t="s">
        <v>208</v>
      </c>
      <c r="H4" s="8" t="s">
        <v>205</v>
      </c>
      <c r="I4" s="8" t="s">
        <v>224</v>
      </c>
      <c r="J4" s="8" t="s">
        <v>225</v>
      </c>
      <c r="K4" s="71" t="s">
        <v>82</v>
      </c>
      <c r="L4" s="8" t="s">
        <v>78</v>
      </c>
      <c r="M4" s="56" t="s">
        <v>187</v>
      </c>
      <c r="N4" s="22">
        <v>14</v>
      </c>
      <c r="O4" s="4">
        <v>46203</v>
      </c>
      <c r="P4" s="37" t="str">
        <f t="shared" si="1"/>
        <v>Tuesday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0" customHeight="1" x14ac:dyDescent="0.2">
      <c r="A5" s="4">
        <v>46218</v>
      </c>
      <c r="B5" s="37" t="str">
        <f t="shared" si="0"/>
        <v>Wednesday</v>
      </c>
      <c r="C5" s="8" t="s">
        <v>180</v>
      </c>
      <c r="D5" s="8" t="s">
        <v>181</v>
      </c>
      <c r="E5" s="8" t="s">
        <v>68</v>
      </c>
      <c r="F5" s="8" t="s">
        <v>69</v>
      </c>
      <c r="G5" s="8" t="s">
        <v>185</v>
      </c>
      <c r="H5" s="8" t="s">
        <v>208</v>
      </c>
      <c r="I5" s="8" t="s">
        <v>186</v>
      </c>
      <c r="J5" s="8" t="s">
        <v>84</v>
      </c>
      <c r="K5" s="8"/>
      <c r="L5" s="8"/>
      <c r="M5" s="56"/>
      <c r="N5" s="22">
        <v>15</v>
      </c>
      <c r="O5" s="4">
        <v>46204</v>
      </c>
      <c r="P5" s="37" t="str">
        <f t="shared" si="1"/>
        <v>Wednesday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0" customHeight="1" x14ac:dyDescent="0.2">
      <c r="A6" s="4">
        <v>46219</v>
      </c>
      <c r="B6" s="37" t="str">
        <f t="shared" si="0"/>
        <v>Thursday</v>
      </c>
      <c r="C6" s="8"/>
      <c r="D6" s="8" t="s">
        <v>184</v>
      </c>
      <c r="E6" s="8" t="s">
        <v>182</v>
      </c>
      <c r="F6" s="8" t="s">
        <v>183</v>
      </c>
      <c r="G6" s="8" t="s">
        <v>208</v>
      </c>
      <c r="H6" s="8" t="s">
        <v>205</v>
      </c>
      <c r="I6" s="8" t="s">
        <v>224</v>
      </c>
      <c r="J6" s="8" t="s">
        <v>225</v>
      </c>
      <c r="K6" s="43"/>
      <c r="L6" s="8" t="s">
        <v>78</v>
      </c>
      <c r="M6" s="56" t="s">
        <v>187</v>
      </c>
      <c r="N6" s="22">
        <v>16</v>
      </c>
      <c r="O6" s="4">
        <v>46205</v>
      </c>
      <c r="P6" s="37" t="str">
        <f t="shared" si="1"/>
        <v>Thursday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4">
        <v>46220</v>
      </c>
      <c r="B7" s="37" t="str">
        <f t="shared" si="0"/>
        <v>Friday</v>
      </c>
      <c r="C7" s="8" t="s">
        <v>68</v>
      </c>
      <c r="D7" s="8" t="s">
        <v>69</v>
      </c>
      <c r="E7" s="8" t="s">
        <v>228</v>
      </c>
      <c r="F7" s="8" t="s">
        <v>229</v>
      </c>
      <c r="G7" s="8" t="s">
        <v>89</v>
      </c>
      <c r="H7" s="8" t="s">
        <v>208</v>
      </c>
      <c r="I7" s="8" t="s">
        <v>186</v>
      </c>
      <c r="J7" s="8" t="s">
        <v>85</v>
      </c>
      <c r="K7" s="8"/>
      <c r="L7" s="8"/>
      <c r="M7" s="56"/>
      <c r="N7" s="22">
        <v>17</v>
      </c>
      <c r="O7" s="4">
        <v>46206</v>
      </c>
      <c r="P7" s="37" t="str">
        <f t="shared" si="1"/>
        <v>Friday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30" customHeight="1" x14ac:dyDescent="0.2">
      <c r="A8" s="4">
        <v>46221</v>
      </c>
      <c r="B8" s="37" t="str">
        <f t="shared" si="0"/>
        <v>Saturday</v>
      </c>
      <c r="C8" s="8" t="s">
        <v>83</v>
      </c>
      <c r="D8" s="8" t="s">
        <v>184</v>
      </c>
      <c r="E8" s="8" t="s">
        <v>182</v>
      </c>
      <c r="F8" s="8" t="s">
        <v>183</v>
      </c>
      <c r="G8" s="8" t="s">
        <v>208</v>
      </c>
      <c r="H8" s="8" t="s">
        <v>205</v>
      </c>
      <c r="I8" s="8" t="s">
        <v>230</v>
      </c>
      <c r="J8" s="8" t="s">
        <v>87</v>
      </c>
      <c r="K8" s="43"/>
      <c r="L8" s="8" t="s">
        <v>78</v>
      </c>
      <c r="M8" s="56" t="s">
        <v>187</v>
      </c>
      <c r="N8" s="22">
        <v>18</v>
      </c>
      <c r="O8" s="4">
        <v>46207</v>
      </c>
      <c r="P8" s="37" t="str">
        <f t="shared" si="1"/>
        <v>Saturday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30" customHeight="1" x14ac:dyDescent="0.2">
      <c r="A9" s="4">
        <v>46222</v>
      </c>
      <c r="B9" s="37" t="str">
        <f t="shared" si="0"/>
        <v>Sunday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22"/>
      <c r="O9" s="4">
        <v>46208</v>
      </c>
      <c r="P9" s="37" t="str">
        <f t="shared" si="1"/>
        <v>Sunday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30" customHeight="1" x14ac:dyDescent="0.2">
      <c r="A10" s="4">
        <v>46223</v>
      </c>
      <c r="B10" s="37" t="str">
        <f t="shared" si="0"/>
        <v>Monday</v>
      </c>
      <c r="C10" s="8" t="s">
        <v>68</v>
      </c>
      <c r="D10" s="8" t="s">
        <v>69</v>
      </c>
      <c r="E10" s="8" t="s">
        <v>180</v>
      </c>
      <c r="F10" s="8" t="s">
        <v>181</v>
      </c>
      <c r="G10" s="8" t="s">
        <v>185</v>
      </c>
      <c r="H10" s="65" t="s">
        <v>35</v>
      </c>
      <c r="I10" s="66"/>
      <c r="J10" s="66"/>
      <c r="K10" s="66"/>
      <c r="L10" s="8" t="s">
        <v>125</v>
      </c>
      <c r="M10" s="59"/>
      <c r="N10" s="22">
        <v>19</v>
      </c>
      <c r="O10" s="4">
        <v>46209</v>
      </c>
      <c r="P10" s="37" t="str">
        <f t="shared" si="1"/>
        <v>Monday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30" customHeight="1" x14ac:dyDescent="0.2">
      <c r="A11" s="4">
        <v>46224</v>
      </c>
      <c r="B11" s="37" t="str">
        <f t="shared" si="0"/>
        <v>Tuesday</v>
      </c>
      <c r="C11" s="8"/>
      <c r="D11" s="8" t="s">
        <v>184</v>
      </c>
      <c r="E11" s="8" t="s">
        <v>182</v>
      </c>
      <c r="F11" s="8" t="s">
        <v>183</v>
      </c>
      <c r="G11" s="8" t="s">
        <v>208</v>
      </c>
      <c r="H11" s="67"/>
      <c r="I11" s="68"/>
      <c r="J11" s="68"/>
      <c r="K11" s="68"/>
      <c r="L11" s="8" t="s">
        <v>78</v>
      </c>
      <c r="M11" s="56" t="s">
        <v>187</v>
      </c>
      <c r="N11" s="22">
        <v>20</v>
      </c>
      <c r="O11" s="4">
        <v>46210</v>
      </c>
      <c r="P11" s="37" t="str">
        <f t="shared" si="1"/>
        <v>Tuesday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30" customHeight="1" x14ac:dyDescent="0.2">
      <c r="A12" s="4">
        <v>46225</v>
      </c>
      <c r="B12" s="37" t="str">
        <f t="shared" si="0"/>
        <v>Wednesday</v>
      </c>
      <c r="C12" s="8" t="s">
        <v>68</v>
      </c>
      <c r="D12" s="8" t="s">
        <v>69</v>
      </c>
      <c r="E12" s="8" t="s">
        <v>180</v>
      </c>
      <c r="F12" s="8" t="s">
        <v>181</v>
      </c>
      <c r="G12" s="8" t="s">
        <v>185</v>
      </c>
      <c r="H12" s="67"/>
      <c r="I12" s="68"/>
      <c r="J12" s="68"/>
      <c r="K12" s="68"/>
      <c r="L12" s="8" t="s">
        <v>125</v>
      </c>
      <c r="M12" s="59"/>
      <c r="N12" s="22">
        <v>21</v>
      </c>
      <c r="O12" s="4">
        <v>46211</v>
      </c>
      <c r="P12" s="37" t="str">
        <f t="shared" si="1"/>
        <v>Wednesday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30" customHeight="1" x14ac:dyDescent="0.2">
      <c r="A13" s="4">
        <v>46226</v>
      </c>
      <c r="B13" s="37" t="str">
        <f t="shared" si="0"/>
        <v>Thursday</v>
      </c>
      <c r="C13" s="8"/>
      <c r="D13" s="8" t="s">
        <v>184</v>
      </c>
      <c r="E13" s="8" t="s">
        <v>182</v>
      </c>
      <c r="F13" s="8" t="s">
        <v>183</v>
      </c>
      <c r="G13" s="8" t="s">
        <v>208</v>
      </c>
      <c r="H13" s="67"/>
      <c r="I13" s="68"/>
      <c r="J13" s="68"/>
      <c r="K13" s="68"/>
      <c r="L13" s="8" t="s">
        <v>78</v>
      </c>
      <c r="M13" s="56" t="s">
        <v>187</v>
      </c>
      <c r="N13" s="22">
        <v>22</v>
      </c>
      <c r="O13" s="4">
        <v>46212</v>
      </c>
      <c r="P13" s="37" t="str">
        <f t="shared" si="1"/>
        <v>Thursday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30" customHeight="1" x14ac:dyDescent="0.2">
      <c r="A14" s="4">
        <v>46227</v>
      </c>
      <c r="B14" s="37" t="str">
        <f t="shared" si="0"/>
        <v>Friday</v>
      </c>
      <c r="C14" s="8" t="s">
        <v>68</v>
      </c>
      <c r="D14" s="8" t="s">
        <v>69</v>
      </c>
      <c r="E14" s="8" t="s">
        <v>180</v>
      </c>
      <c r="F14" s="8" t="s">
        <v>181</v>
      </c>
      <c r="G14" s="8" t="s">
        <v>185</v>
      </c>
      <c r="H14" s="69"/>
      <c r="I14" s="70"/>
      <c r="J14" s="70"/>
      <c r="K14" s="70"/>
      <c r="L14" s="8" t="s">
        <v>125</v>
      </c>
      <c r="M14" s="59"/>
      <c r="N14" s="22">
        <v>23</v>
      </c>
      <c r="O14" s="4">
        <v>46212</v>
      </c>
      <c r="P14" s="37" t="str">
        <f t="shared" si="1"/>
        <v>Thursday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30" customHeight="1" x14ac:dyDescent="0.2">
      <c r="A15" s="4">
        <v>46228</v>
      </c>
      <c r="B15" s="37" t="str">
        <f t="shared" si="0"/>
        <v>Saturday</v>
      </c>
      <c r="C15" s="9"/>
      <c r="D15" s="8" t="s">
        <v>227</v>
      </c>
      <c r="E15" s="8" t="s">
        <v>226</v>
      </c>
      <c r="F15" s="8" t="s">
        <v>85</v>
      </c>
      <c r="G15" s="9"/>
      <c r="H15" s="9"/>
      <c r="I15" s="9"/>
      <c r="J15" s="9"/>
      <c r="K15" s="9"/>
      <c r="L15" s="8" t="s">
        <v>78</v>
      </c>
      <c r="M15" s="56" t="s">
        <v>187</v>
      </c>
      <c r="N15" s="58"/>
      <c r="O15" s="4">
        <v>46213</v>
      </c>
      <c r="P15" s="37" t="str">
        <f t="shared" si="1"/>
        <v>Friday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30" customHeight="1" x14ac:dyDescent="0.2">
      <c r="A16" s="4">
        <v>46229</v>
      </c>
      <c r="B16" s="37" t="str">
        <f t="shared" si="0"/>
        <v>Sunday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22"/>
      <c r="O16" s="4">
        <v>46214</v>
      </c>
      <c r="P16" s="37" t="str">
        <f t="shared" si="1"/>
        <v>Saturday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30" customHeight="1" x14ac:dyDescent="0.2">
      <c r="A17" s="4">
        <v>46230</v>
      </c>
      <c r="B17" s="37" t="str">
        <f t="shared" si="0"/>
        <v>Monday</v>
      </c>
      <c r="C17" s="8" t="s">
        <v>68</v>
      </c>
      <c r="D17" s="8" t="s">
        <v>69</v>
      </c>
      <c r="E17" s="8" t="s">
        <v>180</v>
      </c>
      <c r="F17" s="8" t="s">
        <v>181</v>
      </c>
      <c r="G17" s="8" t="s">
        <v>185</v>
      </c>
      <c r="H17" s="8" t="s">
        <v>208</v>
      </c>
      <c r="I17" s="8" t="s">
        <v>186</v>
      </c>
      <c r="J17" s="8"/>
      <c r="K17" s="8"/>
      <c r="L17" s="8"/>
      <c r="M17" s="56"/>
      <c r="N17" s="22">
        <v>24</v>
      </c>
      <c r="O17" s="4">
        <v>46215</v>
      </c>
      <c r="P17" s="37" t="str">
        <f t="shared" si="1"/>
        <v>Sunday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30" customHeight="1" x14ac:dyDescent="0.2">
      <c r="A18" s="4">
        <v>46231</v>
      </c>
      <c r="B18" s="37" t="str">
        <f t="shared" si="0"/>
        <v>Tuesday</v>
      </c>
      <c r="C18" s="8"/>
      <c r="D18" s="8" t="s">
        <v>184</v>
      </c>
      <c r="E18" s="8" t="s">
        <v>182</v>
      </c>
      <c r="F18" s="8" t="s">
        <v>183</v>
      </c>
      <c r="G18" s="8" t="s">
        <v>208</v>
      </c>
      <c r="H18" s="8" t="s">
        <v>205</v>
      </c>
      <c r="I18" s="8" t="s">
        <v>224</v>
      </c>
      <c r="J18" s="8" t="s">
        <v>225</v>
      </c>
      <c r="K18" s="43"/>
      <c r="L18" s="8" t="s">
        <v>78</v>
      </c>
      <c r="M18" s="56" t="s">
        <v>187</v>
      </c>
      <c r="N18" s="22">
        <v>25</v>
      </c>
      <c r="O18" s="4">
        <v>45858</v>
      </c>
      <c r="P18" s="5" t="str">
        <f t="shared" ref="P18:P23" si="2">TEXT(O18,"DDDDDDDDDDDDDDDDDDDDDDDDDDD")</f>
        <v>Sunday</v>
      </c>
      <c r="Q18" s="8" t="s">
        <v>108</v>
      </c>
      <c r="R18" s="8" t="s">
        <v>140</v>
      </c>
      <c r="S18" s="8" t="s">
        <v>107</v>
      </c>
      <c r="T18" s="8" t="s">
        <v>141</v>
      </c>
      <c r="U18" s="8" t="s">
        <v>113</v>
      </c>
      <c r="V18" s="8"/>
      <c r="W18" s="8"/>
      <c r="X18" s="8"/>
      <c r="Y18" s="8"/>
      <c r="Z18" s="8"/>
      <c r="AA18" s="8"/>
    </row>
    <row r="19" spans="1:27" ht="30" customHeight="1" x14ac:dyDescent="0.2">
      <c r="A19" s="4">
        <v>46232</v>
      </c>
      <c r="B19" s="37" t="str">
        <f t="shared" si="0"/>
        <v>Wednesday</v>
      </c>
      <c r="C19" s="8" t="s">
        <v>68</v>
      </c>
      <c r="D19" s="8" t="s">
        <v>69</v>
      </c>
      <c r="E19" s="8" t="s">
        <v>180</v>
      </c>
      <c r="F19" s="8" t="s">
        <v>181</v>
      </c>
      <c r="G19" s="8" t="s">
        <v>185</v>
      </c>
      <c r="H19" s="8" t="s">
        <v>208</v>
      </c>
      <c r="I19" s="8" t="s">
        <v>186</v>
      </c>
      <c r="J19" s="8"/>
      <c r="K19" s="8"/>
      <c r="L19" s="8"/>
      <c r="M19" s="56"/>
      <c r="N19" s="22">
        <v>26</v>
      </c>
      <c r="O19" s="4">
        <v>45859</v>
      </c>
      <c r="P19" s="5" t="str">
        <f t="shared" si="2"/>
        <v>Monday</v>
      </c>
      <c r="Q19" s="8"/>
      <c r="R19" s="8"/>
      <c r="S19" s="8" t="s">
        <v>137</v>
      </c>
      <c r="T19" s="8" t="s">
        <v>138</v>
      </c>
      <c r="U19" s="8" t="s">
        <v>113</v>
      </c>
      <c r="V19" s="8"/>
      <c r="W19" s="8"/>
      <c r="X19" s="8"/>
      <c r="Y19" s="8"/>
      <c r="Z19" s="8"/>
      <c r="AA19" s="8"/>
    </row>
    <row r="20" spans="1:27" ht="30" customHeight="1" x14ac:dyDescent="0.2">
      <c r="A20" s="4">
        <v>46233</v>
      </c>
      <c r="B20" s="37" t="str">
        <f t="shared" si="0"/>
        <v>Thursday</v>
      </c>
      <c r="C20" s="8"/>
      <c r="D20" s="8" t="s">
        <v>184</v>
      </c>
      <c r="E20" s="8" t="s">
        <v>182</v>
      </c>
      <c r="F20" s="8" t="s">
        <v>183</v>
      </c>
      <c r="G20" s="8" t="s">
        <v>208</v>
      </c>
      <c r="H20" s="8" t="s">
        <v>205</v>
      </c>
      <c r="I20" s="8" t="s">
        <v>224</v>
      </c>
      <c r="J20" s="8" t="s">
        <v>225</v>
      </c>
      <c r="K20" s="43"/>
      <c r="L20" s="8" t="s">
        <v>78</v>
      </c>
      <c r="M20" s="56" t="s">
        <v>187</v>
      </c>
      <c r="N20" s="22">
        <v>27</v>
      </c>
      <c r="O20" s="4">
        <v>45860</v>
      </c>
      <c r="P20" s="5" t="str">
        <f t="shared" si="2"/>
        <v>Tuesday</v>
      </c>
      <c r="Q20" s="8" t="s">
        <v>108</v>
      </c>
      <c r="R20" s="8" t="s">
        <v>140</v>
      </c>
      <c r="S20" s="8" t="s">
        <v>107</v>
      </c>
      <c r="T20" s="8" t="s">
        <v>141</v>
      </c>
      <c r="U20" s="8" t="s">
        <v>113</v>
      </c>
      <c r="V20" s="8"/>
      <c r="W20" s="8"/>
      <c r="X20" s="8"/>
      <c r="Y20" s="8"/>
      <c r="Z20" s="8"/>
      <c r="AA20" s="8"/>
    </row>
    <row r="21" spans="1:27" ht="30" customHeight="1" x14ac:dyDescent="0.2">
      <c r="A21" s="4">
        <v>46234</v>
      </c>
      <c r="B21" s="37" t="str">
        <f t="shared" si="0"/>
        <v>Friday</v>
      </c>
      <c r="C21" s="8" t="s">
        <v>68</v>
      </c>
      <c r="D21" s="8" t="s">
        <v>69</v>
      </c>
      <c r="E21" s="8" t="s">
        <v>180</v>
      </c>
      <c r="F21" s="8" t="s">
        <v>181</v>
      </c>
      <c r="G21" s="8" t="s">
        <v>185</v>
      </c>
      <c r="H21" s="8" t="s">
        <v>208</v>
      </c>
      <c r="I21" s="8" t="s">
        <v>186</v>
      </c>
      <c r="J21" s="8"/>
      <c r="K21" s="8"/>
      <c r="L21" s="8"/>
      <c r="M21" s="56"/>
      <c r="N21" s="22">
        <v>28</v>
      </c>
      <c r="O21" s="4">
        <v>45861</v>
      </c>
      <c r="P21" s="5" t="str">
        <f t="shared" si="2"/>
        <v>Wednesday</v>
      </c>
      <c r="Q21" s="8"/>
      <c r="R21" s="8"/>
      <c r="S21" s="8" t="s">
        <v>137</v>
      </c>
      <c r="T21" s="8" t="s">
        <v>138</v>
      </c>
      <c r="U21" s="8" t="s">
        <v>113</v>
      </c>
      <c r="V21" s="8"/>
      <c r="W21" s="8"/>
      <c r="X21" s="8"/>
      <c r="Y21" s="8"/>
      <c r="Z21" s="8"/>
      <c r="AA21" s="8"/>
    </row>
    <row r="22" spans="1:27" ht="30" customHeight="1" x14ac:dyDescent="0.2">
      <c r="A22" s="4">
        <v>46235</v>
      </c>
      <c r="B22" s="37" t="str">
        <f t="shared" si="0"/>
        <v>Saturday</v>
      </c>
      <c r="C22" s="8"/>
      <c r="D22" s="8" t="s">
        <v>184</v>
      </c>
      <c r="E22" s="8" t="s">
        <v>182</v>
      </c>
      <c r="F22" s="8" t="s">
        <v>183</v>
      </c>
      <c r="G22" s="8" t="s">
        <v>208</v>
      </c>
      <c r="H22" s="8" t="s">
        <v>205</v>
      </c>
      <c r="I22" s="8" t="s">
        <v>224</v>
      </c>
      <c r="J22" s="8" t="s">
        <v>225</v>
      </c>
      <c r="K22" s="43"/>
      <c r="L22" s="8" t="s">
        <v>78</v>
      </c>
      <c r="M22" s="56" t="s">
        <v>187</v>
      </c>
      <c r="N22" s="22">
        <v>29</v>
      </c>
      <c r="O22" s="4">
        <v>45862</v>
      </c>
      <c r="P22" s="5" t="str">
        <f t="shared" si="2"/>
        <v>Thursday</v>
      </c>
      <c r="Q22" s="8" t="s">
        <v>108</v>
      </c>
      <c r="R22" s="8" t="s">
        <v>140</v>
      </c>
      <c r="S22" s="8" t="s">
        <v>107</v>
      </c>
      <c r="T22" s="8" t="s">
        <v>141</v>
      </c>
      <c r="U22" s="8" t="s">
        <v>113</v>
      </c>
      <c r="V22" s="8" t="s">
        <v>112</v>
      </c>
      <c r="W22" s="8" t="s">
        <v>111</v>
      </c>
      <c r="X22" s="8"/>
      <c r="Y22" s="8"/>
      <c r="Z22" s="8"/>
      <c r="AA22" s="8"/>
    </row>
    <row r="23" spans="1:27" ht="30" customHeight="1" x14ac:dyDescent="0.2">
      <c r="A23" s="4">
        <v>46236</v>
      </c>
      <c r="B23" s="37" t="str">
        <f t="shared" si="0"/>
        <v>Sunday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22"/>
      <c r="O23" s="4">
        <v>45863</v>
      </c>
      <c r="P23" s="5" t="str">
        <f t="shared" si="2"/>
        <v>Friday</v>
      </c>
      <c r="Q23" s="8"/>
      <c r="R23" s="8"/>
      <c r="S23" s="8" t="s">
        <v>137</v>
      </c>
      <c r="T23" s="8" t="s">
        <v>138</v>
      </c>
      <c r="U23" s="8" t="s">
        <v>113</v>
      </c>
      <c r="V23" s="8" t="s">
        <v>139</v>
      </c>
      <c r="W23" s="3"/>
      <c r="X23" s="3"/>
      <c r="Y23" s="3"/>
      <c r="Z23" s="3"/>
      <c r="AA23" s="3"/>
    </row>
    <row r="24" spans="1:27" ht="30" hidden="1" customHeight="1" x14ac:dyDescent="0.2">
      <c r="A24" s="33"/>
      <c r="B24" s="34"/>
    </row>
    <row r="25" spans="1:27" ht="30" hidden="1" customHeight="1" x14ac:dyDescent="0.2">
      <c r="A25" s="33"/>
      <c r="B25" s="34"/>
    </row>
    <row r="26" spans="1:27" ht="30" hidden="1" customHeight="1" x14ac:dyDescent="0.2">
      <c r="A26" s="33"/>
      <c r="B26" s="34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27" ht="30" hidden="1" customHeight="1" x14ac:dyDescent="0.2">
      <c r="A27" s="33"/>
      <c r="B27" s="34"/>
      <c r="C27" s="45"/>
      <c r="D27" s="45"/>
      <c r="E27" s="45"/>
      <c r="F27" s="45"/>
      <c r="G27" s="45"/>
      <c r="H27" s="45"/>
      <c r="I27" s="45"/>
      <c r="J27" s="45"/>
      <c r="K27" s="45"/>
      <c r="L27" s="45"/>
    </row>
    <row r="28" spans="1:27" ht="31.5" hidden="1" customHeight="1" x14ac:dyDescent="0.2"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27" ht="18" hidden="1" customHeight="1" x14ac:dyDescent="0.2">
      <c r="C29" s="2" t="s">
        <v>39</v>
      </c>
      <c r="D29" s="3">
        <f>COUNTIF($C$3:$M$24, "IPM(A)/CB(B)/CB('C)/CB(D)")</f>
        <v>0</v>
      </c>
      <c r="E29" s="3">
        <f>COUNTIF($C$3:$M$24, "IPM(A)/CB(B)/CB(D)")</f>
        <v>0</v>
      </c>
      <c r="F29" s="3"/>
      <c r="G29" s="3"/>
      <c r="H29" s="3"/>
      <c r="I29" s="3"/>
      <c r="J29" s="3"/>
      <c r="K29" s="3">
        <f>SUM(D29:J29)</f>
        <v>0</v>
      </c>
    </row>
    <row r="30" spans="1:27" ht="18" hidden="1" customHeight="1" x14ac:dyDescent="0.2">
      <c r="C30" s="10" t="s">
        <v>40</v>
      </c>
      <c r="D30" s="3">
        <f>COUNTIF($C$3:$M$24, "IPM(B)/IPM('C)/IPM(D)/CB(A)")</f>
        <v>9</v>
      </c>
      <c r="E30" s="3">
        <f ca="1">COUNTIF($C$3:$M$30, "IPM(B)/CB(A)")</f>
        <v>0</v>
      </c>
      <c r="F30" s="3"/>
      <c r="G30" s="3"/>
      <c r="H30" s="3"/>
      <c r="I30" s="3"/>
      <c r="J30" s="3"/>
      <c r="K30" s="3">
        <f t="shared" ref="K30:K70" ca="1" si="3">SUM(D30:J30)</f>
        <v>28</v>
      </c>
    </row>
    <row r="31" spans="1:27" ht="18" hidden="1" customHeight="1" x14ac:dyDescent="0.2">
      <c r="C31" s="2" t="s">
        <v>70</v>
      </c>
      <c r="D31" s="3">
        <f>COUNTIF($C$3:$M$24, "IPM(B)/IPM('C)/IPM(D)/CB(A)")</f>
        <v>9</v>
      </c>
      <c r="E31" s="3">
        <f ca="1">COUNTIF($C$3:$M$30, "IPM('C)/IPM(D)")</f>
        <v>0</v>
      </c>
      <c r="F31" s="3"/>
      <c r="G31" s="3"/>
      <c r="H31" s="3"/>
      <c r="I31" s="3"/>
      <c r="J31" s="3"/>
      <c r="K31" s="3">
        <f t="shared" ca="1" si="3"/>
        <v>28</v>
      </c>
    </row>
    <row r="32" spans="1:27" ht="18" hidden="1" customHeight="1" x14ac:dyDescent="0.2">
      <c r="C32" s="10" t="s">
        <v>71</v>
      </c>
      <c r="D32" s="3">
        <f>COUNTIF($C$3:$M$24, "IPM(B)/IPM('C)/IPM(D)/CB(A)")</f>
        <v>9</v>
      </c>
      <c r="E32" s="3">
        <f ca="1">COUNTIF($C$3:$M$30, "IPM('C)/IPM(D)")</f>
        <v>0</v>
      </c>
      <c r="F32" s="3"/>
      <c r="G32" s="3"/>
      <c r="H32" s="3"/>
      <c r="I32" s="3"/>
      <c r="J32" s="3"/>
      <c r="K32" s="3">
        <f t="shared" ca="1" si="3"/>
        <v>28</v>
      </c>
    </row>
    <row r="33" spans="3:11" ht="18" hidden="1" customHeight="1" x14ac:dyDescent="0.2">
      <c r="C33" s="10" t="s">
        <v>74</v>
      </c>
      <c r="D33" s="3">
        <f>COUNTIF($C$3:$M$24, "FSA(A)/FSA('C)/ERP('C)")</f>
        <v>0</v>
      </c>
      <c r="E33" s="3">
        <f ca="1">COUNTIF($C$3:$M$30, "FSA(A)/ERP('C)/SDM(A)")</f>
        <v>0</v>
      </c>
      <c r="F33" s="3">
        <f ca="1">COUNTIF($C$3:$M$30, "FSA(A)/SDM(A)/IB")</f>
        <v>0</v>
      </c>
      <c r="G33" s="3"/>
      <c r="H33" s="3">
        <f ca="1">COUNTIF($C$3:$M$30, "FSA(A)/ERP('C)/IB")</f>
        <v>0</v>
      </c>
      <c r="I33" s="3"/>
      <c r="J33" s="3"/>
      <c r="K33" s="3">
        <f t="shared" ca="1" si="3"/>
        <v>28</v>
      </c>
    </row>
    <row r="34" spans="3:11" ht="18" hidden="1" customHeight="1" x14ac:dyDescent="0.2">
      <c r="C34" s="10" t="s">
        <v>75</v>
      </c>
      <c r="D34" s="3">
        <f>COUNTIF($C$3:$M$24, "FSA(B)/FSA(D)/ERP(B)/SDM(A)")</f>
        <v>0</v>
      </c>
      <c r="E34" s="3">
        <f ca="1">COUNTIF($C$3:$M$30, "FSA(B)/ERP(B)")</f>
        <v>0</v>
      </c>
      <c r="F34" s="3">
        <f ca="1">COUNTIF($C$3:$M$30, "FSA(B)/FSA('C)")</f>
        <v>0</v>
      </c>
      <c r="G34" s="3"/>
      <c r="H34" s="3"/>
      <c r="I34" s="3"/>
      <c r="J34" s="3"/>
      <c r="K34" s="3">
        <f t="shared" ca="1" si="3"/>
        <v>28</v>
      </c>
    </row>
    <row r="35" spans="3:11" ht="18" hidden="1" customHeight="1" x14ac:dyDescent="0.2">
      <c r="C35" s="10" t="s">
        <v>76</v>
      </c>
      <c r="D35" s="3">
        <f>COUNTIF($C$3:$M$24, "FSA(A)/FSA('C)/ERP('C)")</f>
        <v>0</v>
      </c>
      <c r="E35" s="3">
        <f ca="1">COUNTIF($C$3:$M$30, "FSA(B)/FSA('C)")</f>
        <v>0</v>
      </c>
      <c r="F35" s="3">
        <f ca="1">COUNTIF($C$3:$M$30, "FSA('C)/ERP(B)")</f>
        <v>0</v>
      </c>
      <c r="G35" s="3"/>
      <c r="H35" s="3">
        <f ca="1">COUNTIF($C$3:$M$30, "FSA('C)")</f>
        <v>0</v>
      </c>
      <c r="I35" s="3"/>
      <c r="J35" s="3"/>
      <c r="K35" s="3">
        <f t="shared" ca="1" si="3"/>
        <v>28</v>
      </c>
    </row>
    <row r="36" spans="3:11" ht="18" hidden="1" customHeight="1" x14ac:dyDescent="0.2">
      <c r="C36" s="10" t="s">
        <v>127</v>
      </c>
      <c r="D36" s="3">
        <f>COUNTIF($C$3:$M$24, "FSA(A)/FSA('C)/ERP('C)")</f>
        <v>0</v>
      </c>
      <c r="E36" s="3"/>
      <c r="F36" s="3"/>
      <c r="G36" s="3"/>
      <c r="H36" s="3"/>
      <c r="I36" s="3"/>
      <c r="J36" s="3"/>
      <c r="K36" s="3">
        <f t="shared" si="3"/>
        <v>0</v>
      </c>
    </row>
    <row r="37" spans="3:11" ht="18" hidden="1" customHeight="1" x14ac:dyDescent="0.2">
      <c r="C37" s="10" t="s">
        <v>43</v>
      </c>
      <c r="D37" s="3">
        <f>COUNTIF($C$3:$M$24, "SBM(A)/PML(B)/MFS")</f>
        <v>0</v>
      </c>
      <c r="E37" s="3">
        <f>COUNTIF($C$3:$M$24, "SBM(A)/MFS")</f>
        <v>0</v>
      </c>
      <c r="F37" s="3">
        <f>COUNTIF($C$3:$M$24, "PML(B)/MFS")</f>
        <v>0</v>
      </c>
      <c r="G37" s="3"/>
      <c r="H37" s="3"/>
      <c r="I37" s="3"/>
      <c r="J37" s="3"/>
      <c r="K37" s="3">
        <f t="shared" si="3"/>
        <v>0</v>
      </c>
    </row>
    <row r="38" spans="3:11" ht="18" hidden="1" customHeight="1" x14ac:dyDescent="0.2">
      <c r="C38" s="10" t="s">
        <v>72</v>
      </c>
      <c r="D38" s="3">
        <f>COUNTIF($C$3:$M$24, "BM(A)/RMKT(B)/TQM(A)")</f>
        <v>0</v>
      </c>
      <c r="E38" s="3">
        <f>COUNTIF($C$3:$M$24, "BM(A)/TQM(A)")</f>
        <v>0</v>
      </c>
      <c r="F38" s="3"/>
      <c r="G38" s="3"/>
      <c r="H38" s="3"/>
      <c r="I38" s="3"/>
      <c r="J38" s="3"/>
      <c r="K38" s="3">
        <f t="shared" si="3"/>
        <v>0</v>
      </c>
    </row>
    <row r="39" spans="3:11" ht="18" hidden="1" customHeight="1" x14ac:dyDescent="0.2">
      <c r="C39" s="10" t="s">
        <v>73</v>
      </c>
      <c r="D39" s="3">
        <f>COUNTIF($C$3:$M$24, "BM(B)/RMKT(A)/TQM(B)")</f>
        <v>0</v>
      </c>
      <c r="E39" s="3">
        <f>COUNTIF($C$3:$M$24, "BM(B)/TQM(B)")</f>
        <v>0</v>
      </c>
      <c r="F39" s="3">
        <f ca="1">COUNTIF($C$3:$M$30, "BM(A)/IMC(A)")</f>
        <v>0</v>
      </c>
      <c r="G39" s="3"/>
      <c r="H39" s="3"/>
      <c r="I39" s="3"/>
      <c r="J39" s="3"/>
      <c r="K39" s="3">
        <f t="shared" ca="1" si="3"/>
        <v>28</v>
      </c>
    </row>
    <row r="40" spans="3:11" ht="18" hidden="1" customHeight="1" x14ac:dyDescent="0.2">
      <c r="C40" s="10" t="s">
        <v>128</v>
      </c>
      <c r="D40" s="3">
        <f>COUNTIF($C$3:$M$24, "BM('C)/RMKT('C)/BI('B)")</f>
        <v>0</v>
      </c>
      <c r="E40" s="3">
        <f>COUNTIF($C$3:$M$24, "BM('C)/RMKT('C)")</f>
        <v>0</v>
      </c>
      <c r="F40" s="3">
        <f>COUNTIF($C$3:$M$24, "BM('C)/BI('B)")</f>
        <v>0</v>
      </c>
      <c r="G40" s="3"/>
      <c r="H40" s="3"/>
      <c r="I40" s="3"/>
      <c r="J40" s="3"/>
      <c r="K40" s="3">
        <f t="shared" si="3"/>
        <v>0</v>
      </c>
    </row>
    <row r="41" spans="3:11" ht="18" hidden="1" customHeight="1" x14ac:dyDescent="0.2">
      <c r="C41" s="10" t="s">
        <v>77</v>
      </c>
      <c r="D41" s="3">
        <f>COUNTIF($C$3:$M$24, "FSA(B)/FSA(D)/ERP(B)/SDM(A)")</f>
        <v>0</v>
      </c>
      <c r="E41" s="3">
        <f ca="1">COUNTIF($C$3:$M$30, "PS(A)")</f>
        <v>0</v>
      </c>
      <c r="F41" s="3">
        <f ca="1">COUNTIF($C$3:$M$30, "BS('C)/PS(A)")</f>
        <v>0</v>
      </c>
      <c r="G41" s="3"/>
      <c r="H41" s="3"/>
      <c r="I41" s="3"/>
      <c r="J41" s="3"/>
      <c r="K41" s="3">
        <f t="shared" ca="1" si="3"/>
        <v>28</v>
      </c>
    </row>
    <row r="42" spans="3:11" ht="18" hidden="1" customHeight="1" x14ac:dyDescent="0.2">
      <c r="C42" s="10" t="s">
        <v>78</v>
      </c>
      <c r="D42" s="3">
        <f>COUNTIF($C$3:$M$24, "SDM(B)")</f>
        <v>9</v>
      </c>
      <c r="E42" s="3">
        <f>COUNTIF($C$3:$M$24, "BI('B)SDM(B)")</f>
        <v>0</v>
      </c>
      <c r="F42" s="3"/>
      <c r="G42" s="3"/>
      <c r="H42" s="3"/>
      <c r="I42" s="3"/>
      <c r="J42" s="3"/>
      <c r="K42" s="3">
        <f t="shared" si="3"/>
        <v>9</v>
      </c>
    </row>
    <row r="43" spans="3:11" ht="18" hidden="1" customHeight="1" x14ac:dyDescent="0.2">
      <c r="C43" s="10" t="s">
        <v>124</v>
      </c>
      <c r="D43" s="3">
        <f>COUNTIF($C$3:$M$24, "BI(A)/SDM('C)")</f>
        <v>0</v>
      </c>
      <c r="E43" s="3">
        <f>COUNTIF($C$3:$M$24, "SDM('C)")</f>
        <v>0</v>
      </c>
      <c r="F43" s="3"/>
      <c r="G43" s="3"/>
      <c r="H43" s="3"/>
      <c r="I43" s="3"/>
      <c r="J43" s="3"/>
      <c r="K43" s="3">
        <f t="shared" si="3"/>
        <v>0</v>
      </c>
    </row>
    <row r="44" spans="3:11" ht="18" hidden="1" customHeight="1" x14ac:dyDescent="0.2">
      <c r="C44" s="10" t="s">
        <v>79</v>
      </c>
      <c r="D44" s="3">
        <f>COUNTIF($C$3:$M$24, "MBC(B)/I&amp;PM(A)/I&amp;PM('C)")</f>
        <v>0</v>
      </c>
      <c r="E44" s="3"/>
      <c r="F44" s="3"/>
      <c r="G44" s="3"/>
      <c r="H44" s="3"/>
      <c r="I44" s="3"/>
      <c r="J44" s="3"/>
      <c r="K44" s="3">
        <f t="shared" si="3"/>
        <v>0</v>
      </c>
    </row>
    <row r="45" spans="3:11" ht="18" hidden="1" customHeight="1" x14ac:dyDescent="0.2">
      <c r="C45" s="10" t="s">
        <v>80</v>
      </c>
      <c r="D45" s="3">
        <f>COUNTIF($C$3:$M$24, "MBC(A)/I&amp;PM(B)/Q&amp;QRM")</f>
        <v>0</v>
      </c>
      <c r="E45" s="3">
        <f>COUNTIF($C$3:$M$24, "MBC(A)/I&amp;PM(B)")</f>
        <v>0</v>
      </c>
      <c r="F45" s="3"/>
      <c r="G45" s="3"/>
      <c r="H45" s="3"/>
      <c r="I45" s="3"/>
      <c r="J45" s="3"/>
      <c r="K45" s="3">
        <f t="shared" si="3"/>
        <v>0</v>
      </c>
    </row>
    <row r="46" spans="3:11" ht="18" hidden="1" customHeight="1" x14ac:dyDescent="0.2">
      <c r="C46" s="10" t="s">
        <v>129</v>
      </c>
      <c r="D46" s="3">
        <f>COUNTIF($C$3:$M$24, "MBC(B)/I&amp;PM(A)/I&amp;PM('C)")</f>
        <v>0</v>
      </c>
      <c r="E46" s="3">
        <f ca="1">COUNTIF($C$3:$M$30, "I&amp;PM(B)")</f>
        <v>0</v>
      </c>
      <c r="F46" s="3"/>
      <c r="G46" s="3"/>
      <c r="H46" s="3"/>
      <c r="I46" s="3"/>
      <c r="J46" s="3"/>
      <c r="K46" s="3">
        <f t="shared" ca="1" si="3"/>
        <v>28</v>
      </c>
    </row>
    <row r="47" spans="3:11" ht="18" hidden="1" customHeight="1" x14ac:dyDescent="0.2">
      <c r="C47" s="2" t="s">
        <v>130</v>
      </c>
      <c r="D47" s="3">
        <f>COUNTIF($C$3:$M$24, "SBM(A)/PML(B)/MFS")</f>
        <v>0</v>
      </c>
      <c r="E47" s="3">
        <f>COUNTIF($C$3:$M$24, "SBM(A)")</f>
        <v>0</v>
      </c>
      <c r="F47" s="3">
        <f>COUNTIF($C$3:$M$24, "SBM(A)/MFS")</f>
        <v>0</v>
      </c>
      <c r="G47" s="3"/>
      <c r="H47" s="3"/>
      <c r="I47" s="3"/>
      <c r="J47" s="3"/>
      <c r="K47" s="3">
        <f t="shared" si="3"/>
        <v>0</v>
      </c>
    </row>
    <row r="48" spans="3:11" ht="18" hidden="1" customHeight="1" x14ac:dyDescent="0.2">
      <c r="C48" s="10" t="s">
        <v>131</v>
      </c>
      <c r="D48" s="3">
        <f>COUNTIF($C$3:$M$24, "SBM(B)/PML(A)/SBM('C)")</f>
        <v>0</v>
      </c>
      <c r="E48" s="3">
        <f>COUNTIF($C$3:$M$23, "BI(A)/IMC(B)")</f>
        <v>0</v>
      </c>
      <c r="F48" s="3">
        <f>COUNTIF($C$3:$M$24, "SBM(B)/SBM('C)")</f>
        <v>0</v>
      </c>
      <c r="G48" s="3"/>
      <c r="H48" s="3"/>
      <c r="I48" s="3"/>
      <c r="J48" s="3"/>
      <c r="K48" s="3">
        <f t="shared" si="3"/>
        <v>0</v>
      </c>
    </row>
    <row r="49" spans="3:11" ht="18" hidden="1" customHeight="1" x14ac:dyDescent="0.2">
      <c r="C49" s="10" t="s">
        <v>109</v>
      </c>
      <c r="D49" s="3">
        <f>COUNTIF($C$3:$M$24, "SBM(B)/PML(A)/SBM('C)")</f>
        <v>0</v>
      </c>
      <c r="E49" s="3">
        <f>COUNTIF($C$3:$M$24, "PML(A)/SBM('C)")</f>
        <v>0</v>
      </c>
      <c r="F49" s="3">
        <f>COUNTIF($C$3:$M$24, "SBM(B)/SBM('C)")</f>
        <v>0</v>
      </c>
      <c r="G49" s="3"/>
      <c r="H49" s="3"/>
      <c r="I49" s="3"/>
      <c r="J49" s="3"/>
      <c r="K49" s="3">
        <f t="shared" si="3"/>
        <v>0</v>
      </c>
    </row>
    <row r="50" spans="3:11" ht="18" hidden="1" customHeight="1" x14ac:dyDescent="0.2">
      <c r="C50" s="10" t="s">
        <v>41</v>
      </c>
      <c r="D50" s="3">
        <f>COUNTIF($C$3:$M$24, "IPM(B)/IPM('C)/IPM(D)/CB(A)")</f>
        <v>9</v>
      </c>
      <c r="E50" s="3">
        <f ca="1">COUNTIF($C$3:$M$30, "IPM(B)/CB(A)")</f>
        <v>0</v>
      </c>
      <c r="F50" s="3"/>
      <c r="G50" s="3"/>
      <c r="H50" s="3"/>
      <c r="I50" s="3"/>
      <c r="J50" s="3"/>
      <c r="K50" s="3">
        <f t="shared" ca="1" si="3"/>
        <v>28</v>
      </c>
    </row>
    <row r="51" spans="3:11" ht="18" hidden="1" customHeight="1" x14ac:dyDescent="0.2">
      <c r="C51" s="10" t="s">
        <v>42</v>
      </c>
      <c r="D51" s="3">
        <f>COUNTIF($C$3:$M$24, "IPM(A)/CB(B)/CB('C)/CB(D)")</f>
        <v>0</v>
      </c>
      <c r="E51" s="3">
        <f>COUNTIF($C$3:$M$24, "IPM(A)/CB(B)/CB(D)")</f>
        <v>0</v>
      </c>
      <c r="F51" s="3"/>
      <c r="G51" s="3"/>
      <c r="H51" s="3"/>
      <c r="I51" s="3"/>
      <c r="J51" s="3"/>
      <c r="K51" s="3">
        <f t="shared" si="3"/>
        <v>0</v>
      </c>
    </row>
    <row r="52" spans="3:11" ht="18" hidden="1" customHeight="1" x14ac:dyDescent="0.2">
      <c r="C52" s="10" t="s">
        <v>81</v>
      </c>
      <c r="D52" s="3">
        <f>COUNTIF($C$3:$M$24, "IPM(A)/CB(B)/CB('C)/CB(D)")</f>
        <v>0</v>
      </c>
      <c r="E52" s="3">
        <f>COUNTIF($C$3:$M$24, "CB('C)")</f>
        <v>0</v>
      </c>
      <c r="F52" s="3"/>
      <c r="G52" s="3"/>
      <c r="H52" s="3"/>
      <c r="I52" s="3"/>
      <c r="J52" s="3"/>
      <c r="K52" s="3">
        <f t="shared" si="3"/>
        <v>0</v>
      </c>
    </row>
    <row r="53" spans="3:11" ht="18" hidden="1" customHeight="1" x14ac:dyDescent="0.2">
      <c r="C53" s="10" t="s">
        <v>110</v>
      </c>
      <c r="D53" s="3">
        <f>COUNTIF($C$3:$M$24, "IPM(A)/CB(B)/CB('C)/CB(D)")</f>
        <v>0</v>
      </c>
      <c r="E53" s="3">
        <f>COUNTIF($C$3:$M$24, "IPM(A)/CB(B)/CB(D)")</f>
        <v>0</v>
      </c>
      <c r="F53" s="3"/>
      <c r="G53" s="3"/>
      <c r="H53" s="3"/>
      <c r="I53" s="3"/>
      <c r="J53" s="3"/>
      <c r="K53" s="3">
        <f t="shared" si="3"/>
        <v>0</v>
      </c>
    </row>
    <row r="54" spans="3:11" ht="18" hidden="1" customHeight="1" x14ac:dyDescent="0.2">
      <c r="C54" s="10" t="s">
        <v>37</v>
      </c>
      <c r="D54" s="3">
        <f>COUNTIF($C$3:$M$24, "BM(B)/RMKT(A)/TQM(B)")</f>
        <v>0</v>
      </c>
      <c r="E54" s="3"/>
      <c r="F54" s="3"/>
      <c r="G54" s="3"/>
      <c r="H54" s="3"/>
      <c r="I54" s="3"/>
      <c r="J54" s="3"/>
      <c r="K54" s="3">
        <f t="shared" si="3"/>
        <v>0</v>
      </c>
    </row>
    <row r="55" spans="3:11" ht="18" hidden="1" customHeight="1" x14ac:dyDescent="0.2">
      <c r="C55" s="10" t="s">
        <v>38</v>
      </c>
      <c r="D55" s="3">
        <f>COUNTIF($C$3:$M$24, "BM(A)/RMKT(B)/TQM(A)")</f>
        <v>0</v>
      </c>
      <c r="E55" s="3"/>
      <c r="F55" s="3"/>
      <c r="G55" s="3"/>
      <c r="H55" s="3"/>
      <c r="I55" s="3"/>
      <c r="J55" s="3"/>
      <c r="K55" s="3">
        <f t="shared" si="3"/>
        <v>0</v>
      </c>
    </row>
    <row r="56" spans="3:11" ht="18" hidden="1" customHeight="1" x14ac:dyDescent="0.2">
      <c r="C56" s="10" t="s">
        <v>132</v>
      </c>
      <c r="D56" s="3">
        <f>COUNTIF($C$3:$M$24, "BM('C)/RMKT('C)/BI('B)")</f>
        <v>0</v>
      </c>
      <c r="E56" s="3">
        <f>COUNTIF($C$3:$M$24, "BM('C)/RMKT('C)")</f>
        <v>0</v>
      </c>
      <c r="F56" s="3"/>
      <c r="G56" s="3"/>
      <c r="H56" s="3"/>
      <c r="I56" s="3"/>
      <c r="J56" s="3"/>
      <c r="K56" s="3">
        <f t="shared" si="3"/>
        <v>0</v>
      </c>
    </row>
    <row r="57" spans="3:11" ht="18" hidden="1" customHeight="1" x14ac:dyDescent="0.2">
      <c r="C57" s="10" t="s">
        <v>99</v>
      </c>
      <c r="D57" s="3">
        <f>COUNTIF($C$3:$M$24, "MBC(A)/I&amp;PM(B)/Q&amp;QRM")</f>
        <v>0</v>
      </c>
      <c r="E57" s="3"/>
      <c r="F57" s="3"/>
      <c r="G57" s="3"/>
      <c r="H57" s="3"/>
      <c r="I57" s="3"/>
      <c r="J57" s="3"/>
      <c r="K57" s="3">
        <f t="shared" si="3"/>
        <v>0</v>
      </c>
    </row>
    <row r="58" spans="3:11" ht="18" hidden="1" customHeight="1" x14ac:dyDescent="0.2">
      <c r="C58" s="10" t="s">
        <v>133</v>
      </c>
      <c r="D58" s="3">
        <f>COUNTIF($C$3:$M$24, "SBM(B)/PML(A)/SBM('C)")</f>
        <v>0</v>
      </c>
      <c r="E58" s="3">
        <f>COUNTIF($C$3:$M$24, "PML(A)/SBM('C)")</f>
        <v>0</v>
      </c>
      <c r="F58" s="3"/>
      <c r="G58" s="3"/>
      <c r="H58" s="3"/>
      <c r="I58" s="3"/>
      <c r="J58" s="3"/>
      <c r="K58" s="3">
        <f t="shared" si="3"/>
        <v>0</v>
      </c>
    </row>
    <row r="59" spans="3:11" ht="18" hidden="1" customHeight="1" x14ac:dyDescent="0.2">
      <c r="C59" s="10" t="s">
        <v>134</v>
      </c>
      <c r="D59" s="3">
        <f>COUNTIF($C$3:$M$24, "SBM(A)/PML(B)/MFS")</f>
        <v>0</v>
      </c>
      <c r="E59" s="3">
        <f>COUNTIF($C$3:$M$24, "PML(B)/MFS")</f>
        <v>0</v>
      </c>
      <c r="F59" s="3"/>
      <c r="G59" s="3"/>
      <c r="H59" s="3"/>
      <c r="I59" s="3"/>
      <c r="J59" s="3"/>
      <c r="K59" s="3">
        <f t="shared" si="3"/>
        <v>0</v>
      </c>
    </row>
    <row r="60" spans="3:11" ht="18" hidden="1" customHeight="1" x14ac:dyDescent="0.2">
      <c r="C60" s="10" t="s">
        <v>89</v>
      </c>
      <c r="D60" s="3">
        <f>COUNTIF($C$3:$M$24, "BI(A)/SDM('C)")</f>
        <v>0</v>
      </c>
      <c r="E60" s="3">
        <f ca="1">COUNTIF($C$3:$M$30, "BI(A)")</f>
        <v>0</v>
      </c>
      <c r="F60" s="3">
        <f ca="1">COUNTIF($C$3:$M$30, "BI(A)/IMC(B)")</f>
        <v>0</v>
      </c>
      <c r="G60" s="3"/>
      <c r="H60" s="3">
        <f ca="1">COUNTIF($C$3:$M$30, "BM(B)/BI(A)")</f>
        <v>0</v>
      </c>
      <c r="I60" s="3"/>
      <c r="J60" s="3"/>
      <c r="K60" s="3">
        <f t="shared" ca="1" si="3"/>
        <v>28</v>
      </c>
    </row>
    <row r="61" spans="3:11" ht="18" hidden="1" customHeight="1" x14ac:dyDescent="0.2">
      <c r="C61" s="10" t="s">
        <v>125</v>
      </c>
      <c r="D61" s="3">
        <f>COUNTIF($C$3:$M$24, "BM('C)/RMKT('C)/BI('B)")</f>
        <v>0</v>
      </c>
      <c r="E61" s="3">
        <f>COUNTIF($C$3:$M$24, "BI('B)/SDM(B)")</f>
        <v>0</v>
      </c>
      <c r="F61" s="3">
        <f>COUNTIF($C$3:$M$24, "BI(B)")</f>
        <v>3</v>
      </c>
      <c r="G61" s="3">
        <f>COUNTIF($C$3:$M$24, "BM('C)/BI('B)")</f>
        <v>0</v>
      </c>
      <c r="H61" s="3"/>
      <c r="I61" s="3"/>
      <c r="J61" s="3"/>
      <c r="K61" s="3">
        <f t="shared" si="3"/>
        <v>3</v>
      </c>
    </row>
    <row r="62" spans="3:11" ht="18" hidden="1" customHeight="1" x14ac:dyDescent="0.2">
      <c r="C62" s="10" t="s">
        <v>126</v>
      </c>
      <c r="D62" s="3">
        <f>COUNTIF($C$3:$M$24, "BI('C)/IB")</f>
        <v>0</v>
      </c>
      <c r="E62" s="3">
        <f>COUNTIF($C$3:$M$24, "BI('C)")</f>
        <v>0</v>
      </c>
      <c r="F62" s="3"/>
      <c r="G62" s="3"/>
      <c r="H62" s="3"/>
      <c r="I62" s="3"/>
      <c r="J62" s="3"/>
      <c r="K62" s="3">
        <f t="shared" si="3"/>
        <v>0</v>
      </c>
    </row>
    <row r="63" spans="3:11" ht="18" hidden="1" customHeight="1" x14ac:dyDescent="0.2">
      <c r="C63" s="10" t="s">
        <v>82</v>
      </c>
      <c r="D63" s="3">
        <f>COUNTIF($C$3:$M$24, "MBC(A)/I&amp;PM(B)/Q&amp;QRM")</f>
        <v>0</v>
      </c>
      <c r="E63" s="3">
        <f>COUNTIF($C$3:$M$24, "MBC(A)/I&amp;PM(B)")</f>
        <v>0</v>
      </c>
      <c r="F63" s="3">
        <f ca="1">COUNTIF($C$3:$M$30, "MBC(A)")</f>
        <v>0</v>
      </c>
      <c r="G63" s="3"/>
      <c r="H63" s="3"/>
      <c r="I63" s="3"/>
      <c r="J63" s="3"/>
      <c r="K63" s="3">
        <f t="shared" ca="1" si="3"/>
        <v>28</v>
      </c>
    </row>
    <row r="64" spans="3:11" ht="18" hidden="1" customHeight="1" x14ac:dyDescent="0.2">
      <c r="C64" s="10" t="s">
        <v>83</v>
      </c>
      <c r="D64" s="3">
        <f>COUNTIF($C$3:$M$24, "MBC(B)/I&amp;PM(A)/I&amp;PM('C)")</f>
        <v>0</v>
      </c>
      <c r="E64" s="3">
        <f ca="1">COUNTIF($C$3:$M$30, "MBC(B)")</f>
        <v>0</v>
      </c>
      <c r="F64" s="3">
        <f ca="1">COUNTIF($C$3:$M$30, "MBC(B)")</f>
        <v>0</v>
      </c>
      <c r="G64" s="3"/>
      <c r="H64" s="3"/>
      <c r="I64" s="3"/>
      <c r="J64" s="3"/>
      <c r="K64" s="3">
        <f t="shared" ca="1" si="3"/>
        <v>28</v>
      </c>
    </row>
    <row r="65" spans="3:11" ht="18" hidden="1" customHeight="1" x14ac:dyDescent="0.2">
      <c r="C65" s="10" t="s">
        <v>84</v>
      </c>
      <c r="D65" s="3">
        <f>COUNTIF($C$3:$M$24, "ERP(A)")</f>
        <v>1</v>
      </c>
      <c r="E65" s="3">
        <f ca="1">COUNTIF($C$3:$M$30, "ERP(A)")</f>
        <v>0</v>
      </c>
      <c r="F65" s="3"/>
      <c r="G65" s="3"/>
      <c r="H65" s="3"/>
      <c r="I65" s="3"/>
      <c r="J65" s="3"/>
      <c r="K65" s="3">
        <f t="shared" ca="1" si="3"/>
        <v>28</v>
      </c>
    </row>
    <row r="66" spans="3:11" ht="18" hidden="1" customHeight="1" x14ac:dyDescent="0.2">
      <c r="C66" s="10" t="s">
        <v>85</v>
      </c>
      <c r="D66" s="3">
        <f>COUNTIF($C$3:$M$24, "FSA(B)/FSA(D)/ERP(B)/SDM(A)")</f>
        <v>0</v>
      </c>
      <c r="E66" s="3">
        <f ca="1">COUNTIF($C$3:$M$30, "FSA('C)/ERP(B)")</f>
        <v>0</v>
      </c>
      <c r="F66" s="3">
        <f ca="1">COUNTIF($C$3:$M$30, "FSA(B)/ERP(B)")</f>
        <v>0</v>
      </c>
      <c r="G66" s="3"/>
      <c r="H66" s="3"/>
      <c r="I66" s="3"/>
      <c r="J66" s="3"/>
      <c r="K66" s="3">
        <f t="shared" ca="1" si="3"/>
        <v>28</v>
      </c>
    </row>
    <row r="67" spans="3:11" ht="18" hidden="1" customHeight="1" x14ac:dyDescent="0.2">
      <c r="C67" s="10" t="s">
        <v>86</v>
      </c>
      <c r="D67" s="3">
        <f>COUNTIF($C$3:$M$24, "FSA(A)/FSA('C)/ERP('C)")</f>
        <v>0</v>
      </c>
      <c r="E67" s="3">
        <f ca="1">COUNTIF($C$3:$M$30, "FSA(A)/ERP('C)/SDM(A)")</f>
        <v>0</v>
      </c>
      <c r="F67" s="3">
        <f ca="1">COUNTIF($C$3:$M$30, "ERP('C)/SDM(A)/IB")</f>
        <v>0</v>
      </c>
      <c r="G67" s="3"/>
      <c r="H67" s="3">
        <f ca="1">COUNTIF($C$3:$M$30, "FSA(A)/ERP('C)/IB")</f>
        <v>0</v>
      </c>
      <c r="I67" s="3"/>
      <c r="J67" s="3"/>
      <c r="K67" s="3">
        <f t="shared" ca="1" si="3"/>
        <v>28</v>
      </c>
    </row>
    <row r="68" spans="3:11" ht="18" hidden="1" customHeight="1" x14ac:dyDescent="0.2">
      <c r="C68" s="10" t="s">
        <v>87</v>
      </c>
      <c r="D68" s="3">
        <f>COUNTIF($C$3:$M$24, "BM(A)/RMKT(B)/TQM(A)")</f>
        <v>0</v>
      </c>
      <c r="E68" s="3">
        <f>COUNTIF($C$3:$M$24, "BM(A)/TQM(A)")</f>
        <v>0</v>
      </c>
      <c r="F68" s="3"/>
      <c r="G68" s="3"/>
      <c r="H68" s="3"/>
      <c r="I68" s="3"/>
      <c r="J68" s="3"/>
      <c r="K68" s="3">
        <f t="shared" si="3"/>
        <v>0</v>
      </c>
    </row>
    <row r="69" spans="3:11" ht="18" hidden="1" customHeight="1" x14ac:dyDescent="0.2">
      <c r="C69" s="10" t="s">
        <v>88</v>
      </c>
      <c r="D69" s="3">
        <f>COUNTIF($C$3:$M$24, "BM(B)/RMKT(A)/TQM(B)")</f>
        <v>0</v>
      </c>
      <c r="E69" s="3">
        <f>COUNTIF($C$3:$M$24, "BM(B)/TQM(B)")</f>
        <v>0</v>
      </c>
      <c r="F69" s="3">
        <f ca="1">COUNTIF($C$3:$M$30, "TQM(B)/IMC(A)")</f>
        <v>0</v>
      </c>
      <c r="G69" s="3"/>
      <c r="H69" s="3"/>
      <c r="I69" s="3"/>
      <c r="J69" s="3"/>
      <c r="K69" s="3">
        <f t="shared" ca="1" si="3"/>
        <v>28</v>
      </c>
    </row>
    <row r="70" spans="3:11" ht="18" hidden="1" customHeight="1" x14ac:dyDescent="0.2">
      <c r="C70" s="10" t="s">
        <v>61</v>
      </c>
      <c r="D70" s="3">
        <f>COUNTIF($C$3:$M$24, "BI('C)/IB")</f>
        <v>0</v>
      </c>
      <c r="E70" s="3"/>
      <c r="F70" s="3"/>
      <c r="G70" s="3"/>
      <c r="H70" s="3"/>
      <c r="I70" s="3"/>
      <c r="J70" s="3"/>
      <c r="K70" s="3">
        <f t="shared" si="3"/>
        <v>0</v>
      </c>
    </row>
    <row r="71" spans="3:11" ht="18" hidden="1" customHeight="1" x14ac:dyDescent="0.2"/>
    <row r="72" spans="3:11" ht="18" hidden="1" customHeight="1" x14ac:dyDescent="0.2"/>
    <row r="73" spans="3:11" ht="18" hidden="1" customHeight="1" x14ac:dyDescent="0.2"/>
    <row r="74" spans="3:11" ht="18" hidden="1" customHeight="1" x14ac:dyDescent="0.2"/>
    <row r="75" spans="3:11" ht="18" hidden="1" customHeight="1" x14ac:dyDescent="0.2"/>
    <row r="76" spans="3:11" ht="18" hidden="1" customHeight="1" x14ac:dyDescent="0.2"/>
    <row r="77" spans="3:11" ht="18" hidden="1" customHeight="1" x14ac:dyDescent="0.2"/>
    <row r="78" spans="3:11" ht="18" hidden="1" customHeight="1" x14ac:dyDescent="0.2"/>
    <row r="79" spans="3:11" ht="18" hidden="1" customHeight="1" x14ac:dyDescent="0.2"/>
    <row r="80" spans="3:11" ht="18" hidden="1" customHeight="1" x14ac:dyDescent="0.2"/>
    <row r="81" ht="18" hidden="1" customHeight="1" x14ac:dyDescent="0.2"/>
    <row r="82" ht="18" hidden="1" customHeight="1" x14ac:dyDescent="0.2"/>
    <row r="83" ht="18" hidden="1" customHeight="1" x14ac:dyDescent="0.2"/>
    <row r="84" ht="18" hidden="1" customHeight="1" x14ac:dyDescent="0.2"/>
    <row r="85" ht="18" hidden="1" customHeight="1" x14ac:dyDescent="0.2"/>
    <row r="86" ht="18" hidden="1" customHeight="1" x14ac:dyDescent="0.2"/>
    <row r="87" ht="18" hidden="1" customHeight="1" x14ac:dyDescent="0.2"/>
    <row r="88" ht="18" hidden="1" customHeight="1" x14ac:dyDescent="0.2"/>
    <row r="89" ht="18" hidden="1" customHeight="1" x14ac:dyDescent="0.2"/>
    <row r="90" ht="18" hidden="1" customHeight="1" x14ac:dyDescent="0.2"/>
    <row r="91" ht="18" hidden="1" customHeight="1" x14ac:dyDescent="0.2"/>
    <row r="92" ht="18" hidden="1" customHeight="1" x14ac:dyDescent="0.2"/>
    <row r="93" ht="18" hidden="1" customHeight="1" x14ac:dyDescent="0.2"/>
    <row r="94" ht="18" hidden="1" customHeight="1" x14ac:dyDescent="0.2"/>
    <row r="95" ht="18" hidden="1" customHeight="1" x14ac:dyDescent="0.2"/>
    <row r="96" ht="18" hidden="1" customHeight="1" x14ac:dyDescent="0.2"/>
    <row r="97" ht="18" hidden="1" customHeight="1" x14ac:dyDescent="0.2"/>
    <row r="98" ht="18" hidden="1" customHeight="1" x14ac:dyDescent="0.2"/>
    <row r="99" ht="18" hidden="1" customHeight="1" x14ac:dyDescent="0.2"/>
    <row r="100" ht="18" hidden="1" customHeight="1" x14ac:dyDescent="0.2"/>
    <row r="101" ht="18" hidden="1" customHeight="1" x14ac:dyDescent="0.2"/>
    <row r="102" ht="18" hidden="1" customHeight="1" x14ac:dyDescent="0.2"/>
    <row r="103" ht="18" hidden="1" customHeight="1" x14ac:dyDescent="0.2"/>
    <row r="104" ht="18" hidden="1" customHeight="1" x14ac:dyDescent="0.2"/>
    <row r="105" ht="18" hidden="1" customHeight="1" x14ac:dyDescent="0.2"/>
    <row r="106" ht="18" hidden="1" customHeight="1" x14ac:dyDescent="0.2"/>
    <row r="107" ht="18" hidden="1" customHeight="1" x14ac:dyDescent="0.2"/>
    <row r="108" ht="18" hidden="1" customHeight="1" x14ac:dyDescent="0.2"/>
    <row r="109" ht="18" hidden="1" customHeight="1" x14ac:dyDescent="0.2"/>
    <row r="110" ht="18" hidden="1" customHeight="1" x14ac:dyDescent="0.2"/>
    <row r="111" ht="18" hidden="1" customHeight="1" x14ac:dyDescent="0.2"/>
    <row r="112" ht="18" hidden="1" customHeight="1" x14ac:dyDescent="0.2"/>
    <row r="113" ht="18" hidden="1" customHeight="1" x14ac:dyDescent="0.2"/>
    <row r="114" ht="18" hidden="1" customHeight="1" x14ac:dyDescent="0.2"/>
    <row r="115" ht="18" hidden="1" customHeight="1" x14ac:dyDescent="0.2"/>
    <row r="116" ht="18" hidden="1" customHeight="1" x14ac:dyDescent="0.2"/>
    <row r="117" ht="18" hidden="1" customHeight="1" x14ac:dyDescent="0.2"/>
  </sheetData>
  <mergeCells count="5">
    <mergeCell ref="A1:A2"/>
    <mergeCell ref="B1:B2"/>
    <mergeCell ref="O1:O2"/>
    <mergeCell ref="P1:P2"/>
    <mergeCell ref="H10:K14"/>
  </mergeCells>
  <conditionalFormatting sqref="D49">
    <cfRule type="containsText" dxfId="24" priority="60" operator="containsText" text="PML(A)/SBM('C)">
      <formula>NOT(ISERROR(SEARCH("PML(A)/SBM('C)",D49)))</formula>
    </cfRule>
  </conditionalFormatting>
  <conditionalFormatting sqref="C17:L17">
    <cfRule type="containsText" dxfId="23" priority="11" operator="containsText" text="PML(A)/SBM('C)">
      <formula>NOT(ISERROR(SEARCH("PML(A)/SBM('C)",C17)))</formula>
    </cfRule>
  </conditionalFormatting>
  <conditionalFormatting sqref="G18:G20">
    <cfRule type="containsText" dxfId="22" priority="10" operator="containsText" text="PML(A)/SBM('C)">
      <formula>NOT(ISERROR(SEARCH("PML(A)/SBM('C)",G18)))</formula>
    </cfRule>
  </conditionalFormatting>
  <conditionalFormatting sqref="H18:L20">
    <cfRule type="containsText" dxfId="21" priority="9" operator="containsText" text="PML(A)/SBM('C)">
      <formula>NOT(ISERROR(SEARCH("PML(A)/SBM('C)",H18)))</formula>
    </cfRule>
  </conditionalFormatting>
  <conditionalFormatting sqref="M17:M21">
    <cfRule type="containsText" dxfId="20" priority="8" operator="containsText" text="PML(A)/SBM('C)">
      <formula>NOT(ISERROR(SEARCH("PML(A)/SBM('C)",M17)))</formula>
    </cfRule>
  </conditionalFormatting>
  <conditionalFormatting sqref="C16:M16 G15:K15">
    <cfRule type="containsText" dxfId="19" priority="24" operator="containsText" text="PML(A)/SBM('C)">
      <formula>NOT(ISERROR(SEARCH("PML(A)/SBM('C)",C15)))</formula>
    </cfRule>
  </conditionalFormatting>
  <conditionalFormatting sqref="C8:M9 H10 C7:L7 C4:F4 C6:F6 C5:E5">
    <cfRule type="containsText" dxfId="18" priority="23" operator="containsText" text="PML(A)/SBM('C)">
      <formula>NOT(ISERROR(SEARCH("PML(A)/SBM('C)",C4)))</formula>
    </cfRule>
  </conditionalFormatting>
  <conditionalFormatting sqref="C3:L3">
    <cfRule type="containsText" dxfId="17" priority="22" operator="containsText" text="PML(A)/SBM('C)">
      <formula>NOT(ISERROR(SEARCH("PML(A)/SBM('C)",C3)))</formula>
    </cfRule>
  </conditionalFormatting>
  <conditionalFormatting sqref="G4:G6">
    <cfRule type="containsText" dxfId="16" priority="21" operator="containsText" text="PML(A)/SBM('C)">
      <formula>NOT(ISERROR(SEARCH("PML(A)/SBM('C)",G4)))</formula>
    </cfRule>
  </conditionalFormatting>
  <conditionalFormatting sqref="H4:L6">
    <cfRule type="containsText" dxfId="15" priority="20" operator="containsText" text="PML(A)/SBM('C)">
      <formula>NOT(ISERROR(SEARCH("PML(A)/SBM('C)",H4)))</formula>
    </cfRule>
  </conditionalFormatting>
  <conditionalFormatting sqref="M3:M7">
    <cfRule type="containsText" dxfId="14" priority="19" operator="containsText" text="PML(A)/SBM('C)">
      <formula>NOT(ISERROR(SEARCH("PML(A)/SBM('C)",M3)))</formula>
    </cfRule>
  </conditionalFormatting>
  <conditionalFormatting sqref="C23:M23">
    <cfRule type="containsText" dxfId="13" priority="18" operator="containsText" text="PML(A)/SBM('C)">
      <formula>NOT(ISERROR(SEARCH("PML(A)/SBM('C)",C23)))</formula>
    </cfRule>
  </conditionalFormatting>
  <conditionalFormatting sqref="C11:F13 C14:G14">
    <cfRule type="containsText" dxfId="12" priority="17" operator="containsText" text="PML(A)/SBM('C)">
      <formula>NOT(ISERROR(SEARCH("PML(A)/SBM('C)",C11)))</formula>
    </cfRule>
  </conditionalFormatting>
  <conditionalFormatting sqref="C10:G10">
    <cfRule type="containsText" dxfId="11" priority="16" operator="containsText" text="PML(A)/SBM('C)">
      <formula>NOT(ISERROR(SEARCH("PML(A)/SBM('C)",C10)))</formula>
    </cfRule>
  </conditionalFormatting>
  <conditionalFormatting sqref="G11:G13">
    <cfRule type="containsText" dxfId="10" priority="15" operator="containsText" text="PML(A)/SBM('C)">
      <formula>NOT(ISERROR(SEARCH("PML(A)/SBM('C)",G11)))</formula>
    </cfRule>
  </conditionalFormatting>
  <conditionalFormatting sqref="C15 F15">
    <cfRule type="containsText" dxfId="9" priority="14" operator="containsText" text="PML(A)/SBM('C)">
      <formula>NOT(ISERROR(SEARCH("PML(A)/SBM('C)",C15)))</formula>
    </cfRule>
  </conditionalFormatting>
  <conditionalFormatting sqref="D15:E15">
    <cfRule type="containsText" dxfId="8" priority="13" operator="containsText" text="PML(A)/SBM('C)">
      <formula>NOT(ISERROR(SEARCH("PML(A)/SBM('C)",D15)))</formula>
    </cfRule>
  </conditionalFormatting>
  <conditionalFormatting sqref="C22:M22 C18:F20 C21:L21">
    <cfRule type="containsText" dxfId="7" priority="12" operator="containsText" text="PML(A)/SBM('C)">
      <formula>NOT(ISERROR(SEARCH("PML(A)/SBM('C)",C18)))</formula>
    </cfRule>
  </conditionalFormatting>
  <conditionalFormatting sqref="F5">
    <cfRule type="containsText" dxfId="6" priority="7" operator="containsText" text="PML(A)/SBM('C)">
      <formula>NOT(ISERROR(SEARCH("PML(A)/SBM('C)",F5)))</formula>
    </cfRule>
  </conditionalFormatting>
  <conditionalFormatting sqref="L10">
    <cfRule type="containsText" dxfId="5" priority="6" operator="containsText" text="PML(A)/SBM('C)">
      <formula>NOT(ISERROR(SEARCH("PML(A)/SBM('C)",L10)))</formula>
    </cfRule>
  </conditionalFormatting>
  <conditionalFormatting sqref="L12">
    <cfRule type="containsText" dxfId="4" priority="5" operator="containsText" text="PML(A)/SBM('C)">
      <formula>NOT(ISERROR(SEARCH("PML(A)/SBM('C)",L12)))</formula>
    </cfRule>
  </conditionalFormatting>
  <conditionalFormatting sqref="L14">
    <cfRule type="containsText" dxfId="3" priority="4" operator="containsText" text="PML(A)/SBM('C)">
      <formula>NOT(ISERROR(SEARCH("PML(A)/SBM('C)",L14)))</formula>
    </cfRule>
  </conditionalFormatting>
  <conditionalFormatting sqref="L11:M11">
    <cfRule type="containsText" dxfId="2" priority="3" operator="containsText" text="PML(A)/SBM('C)">
      <formula>NOT(ISERROR(SEARCH("PML(A)/SBM('C)",L11)))</formula>
    </cfRule>
  </conditionalFormatting>
  <conditionalFormatting sqref="L13:M13">
    <cfRule type="containsText" dxfId="1" priority="2" operator="containsText" text="PML(A)/SBM('C)">
      <formula>NOT(ISERROR(SEARCH("PML(A)/SBM('C)",L13)))</formula>
    </cfRule>
  </conditionalFormatting>
  <conditionalFormatting sqref="L15:M15">
    <cfRule type="containsText" dxfId="0" priority="1" operator="containsText" text="PML(A)/SBM('C)">
      <formula>NOT(ISERROR(SEARCH("PML(A)/SBM('C)",L15)))</formula>
    </cfRule>
  </conditionalFormatting>
  <pageMargins left="0.23622047244094491" right="0.19685039370078741" top="1.1023622047244095" bottom="0.47244094488188981" header="0.27559055118110237" footer="0.19685039370078741"/>
  <pageSetup paperSize="9" scale="52" orientation="landscape" r:id="rId1"/>
  <headerFooter alignWithMargins="0">
    <oddHeader>&amp;C&amp;"times,Bold"&amp;17Institute of Management, Nirma University
Master of Business Administration &amp; B. Tech. CSE-MBA
Batch: 2025 - 2027 &amp; 2022-27 (Term - IV)
Daily Class Schedule</oddHead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Course Detail - Term IV</vt:lpstr>
      <vt:lpstr>Class Schedule-Term-IV </vt:lpstr>
      <vt:lpstr>'Class Schedule-Term-IV '!Print_Area</vt:lpstr>
      <vt:lpstr>'Course Detail - Term IV'!Print_Area</vt:lpstr>
      <vt:lpstr>'Class Schedule-Term-IV '!Print_Titles</vt:lpstr>
    </vt:vector>
  </TitlesOfParts>
  <Company>nim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Administrator</cp:lastModifiedBy>
  <cp:lastPrinted>2026-06-11T11:14:28Z</cp:lastPrinted>
  <dcterms:created xsi:type="dcterms:W3CDTF">2007-05-07T07:18:13Z</dcterms:created>
  <dcterms:modified xsi:type="dcterms:W3CDTF">2026-07-10T08:58:52Z</dcterms:modified>
</cp:coreProperties>
</file>